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esktop\construction data analyst\kwaya kursar site Analysis\"/>
    </mc:Choice>
  </mc:AlternateContent>
  <bookViews>
    <workbookView xWindow="0" yWindow="0" windowWidth="15530" windowHeight="6550" activeTab="9"/>
  </bookViews>
  <sheets>
    <sheet name="00_COVER" sheetId="27" r:id="rId1"/>
    <sheet name="00_EXECUTIVE_SUMMARY" sheetId="5" r:id="rId2"/>
    <sheet name="01_OVERVIEW" sheetId="24" r:id="rId3"/>
    <sheet name="02_DATA_DICTIONARY" sheetId="10" r:id="rId4"/>
    <sheet name="03_MASTER_LOG" sheetId="1" r:id="rId5"/>
    <sheet name="04_ACTIVITY_SUMMARY" sheetId="13" r:id="rId6"/>
    <sheet name="05_MATERIAL_SUMMARY" sheetId="14" r:id="rId7"/>
    <sheet name="06_COST_SUMMARY" sheetId="15" r:id="rId8"/>
    <sheet name="07_KPI_DASHBOARD" sheetId="16" r:id="rId9"/>
    <sheet name=" 08_MATERIAL_COST_ANALYSIS" sheetId="18" r:id="rId10"/>
    <sheet name="09_CHALLENGES_AND_RESOLUTIONS" sheetId="21" r:id="rId11"/>
    <sheet name="10_PIVOT_ANALYSIS" sheetId="32" r:id="rId12"/>
  </sheets>
  <calcPr calcId="162913"/>
  <pivotCaches>
    <pivotCache cacheId="20" r:id="rId13"/>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U2"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alcChain>
</file>

<file path=xl/sharedStrings.xml><?xml version="1.0" encoding="utf-8"?>
<sst xmlns="http://schemas.openxmlformats.org/spreadsheetml/2006/main" count="4339" uniqueCount="1101">
  <si>
    <t>Log_ID</t>
  </si>
  <si>
    <t>Date</t>
  </si>
  <si>
    <t>Day</t>
  </si>
  <si>
    <t>Week</t>
  </si>
  <si>
    <t>Month</t>
  </si>
  <si>
    <t>Category</t>
  </si>
  <si>
    <t>Item</t>
  </si>
  <si>
    <t>Quantity</t>
  </si>
  <si>
    <t>Unit</t>
  </si>
  <si>
    <t>Operation</t>
  </si>
  <si>
    <t>Location</t>
  </si>
  <si>
    <t>Notes</t>
  </si>
  <si>
    <t>Source</t>
  </si>
  <si>
    <t>Labour_Cost_NGN</t>
  </si>
  <si>
    <t>Mixer_Hours</t>
  </si>
  <si>
    <t>Vibrator_Hours</t>
  </si>
  <si>
    <t>LOG001</t>
  </si>
  <si>
    <t>Tuesday</t>
  </si>
  <si>
    <t>W5</t>
  </si>
  <si>
    <t>Work</t>
  </si>
  <si>
    <t>Excavation</t>
  </si>
  <si>
    <t>m</t>
  </si>
  <si>
    <t>Completed</t>
  </si>
  <si>
    <t>Line drain excavation</t>
  </si>
  <si>
    <t>Group</t>
  </si>
  <si>
    <t>LOG002</t>
  </si>
  <si>
    <t>Cost</t>
  </si>
  <si>
    <t>Labour Cost</t>
  </si>
  <si>
    <t>NGN</t>
  </si>
  <si>
    <t>Paid</t>
  </si>
  <si>
    <t>Labour for excavation</t>
  </si>
  <si>
    <t>LOG003</t>
  </si>
  <si>
    <t>Wednesday</t>
  </si>
  <si>
    <t>Daily excavation</t>
  </si>
  <si>
    <t>LOG004</t>
  </si>
  <si>
    <t>LOG005</t>
  </si>
  <si>
    <t>Thursday</t>
  </si>
  <si>
    <t>LOG006</t>
  </si>
  <si>
    <t>LOG007</t>
  </si>
  <si>
    <t>Friday</t>
  </si>
  <si>
    <t>LOG008</t>
  </si>
  <si>
    <t>LOG009</t>
  </si>
  <si>
    <t>Saturday</t>
  </si>
  <si>
    <t>LOG010</t>
  </si>
  <si>
    <t>LOG011</t>
  </si>
  <si>
    <t>Sunday</t>
  </si>
  <si>
    <t>LOG012</t>
  </si>
  <si>
    <t>LOG013</t>
  </si>
  <si>
    <t>Removal of trees</t>
  </si>
  <si>
    <t>LOG014</t>
  </si>
  <si>
    <t>Monday</t>
  </si>
  <si>
    <t>W6</t>
  </si>
  <si>
    <t>LOG015</t>
  </si>
  <si>
    <t>LOG016</t>
  </si>
  <si>
    <t>LOG017</t>
  </si>
  <si>
    <t>LOG018</t>
  </si>
  <si>
    <t>Culvert &amp; apron preparation</t>
  </si>
  <si>
    <t>LOG019</t>
  </si>
  <si>
    <t>Box culvert excavation (cost only)</t>
  </si>
  <si>
    <t>LOG020</t>
  </si>
  <si>
    <t>Excavation Repair</t>
  </si>
  <si>
    <t>Trench repair</t>
  </si>
  <si>
    <t>LOG021</t>
  </si>
  <si>
    <t>Labour for trench repair</t>
  </si>
  <si>
    <t>LOG022</t>
  </si>
  <si>
    <t>Operations</t>
  </si>
  <si>
    <t>Reinforcement Basket</t>
  </si>
  <si>
    <t>nos</t>
  </si>
  <si>
    <t>Produced</t>
  </si>
  <si>
    <t>Basket production</t>
  </si>
  <si>
    <t>LOG023</t>
  </si>
  <si>
    <t>W7</t>
  </si>
  <si>
    <t>LOG024</t>
  </si>
  <si>
    <t>LOG025</t>
  </si>
  <si>
    <t>LOG026</t>
  </si>
  <si>
    <t>LOG027</t>
  </si>
  <si>
    <t>LOG028</t>
  </si>
  <si>
    <t>LOG029</t>
  </si>
  <si>
    <t>LOG030</t>
  </si>
  <si>
    <t>LOG031</t>
  </si>
  <si>
    <t>LOG032</t>
  </si>
  <si>
    <t>LOG033</t>
  </si>
  <si>
    <t>Material</t>
  </si>
  <si>
    <t>Cement Delivered</t>
  </si>
  <si>
    <t>bags</t>
  </si>
  <si>
    <t>Delivered</t>
  </si>
  <si>
    <t>Main Store</t>
  </si>
  <si>
    <t>Initial cement delivery</t>
  </si>
  <si>
    <t>LOG034</t>
  </si>
  <si>
    <t>LOG035</t>
  </si>
  <si>
    <t>LOG036</t>
  </si>
  <si>
    <t>LOG037</t>
  </si>
  <si>
    <t>No production (wedding)</t>
  </si>
  <si>
    <t>LOG038</t>
  </si>
  <si>
    <t>No production</t>
  </si>
  <si>
    <t>LOG039</t>
  </si>
  <si>
    <t>LOG040</t>
  </si>
  <si>
    <t>W8</t>
  </si>
  <si>
    <t>Base Casting</t>
  </si>
  <si>
    <t>Used</t>
  </si>
  <si>
    <t>Base casting activities</t>
  </si>
  <si>
    <t>LOG041</t>
  </si>
  <si>
    <t>Cement Used</t>
  </si>
  <si>
    <t>Base casting</t>
  </si>
  <si>
    <t>LOG042</t>
  </si>
  <si>
    <t>Water Supply</t>
  </si>
  <si>
    <t>trips</t>
  </si>
  <si>
    <t>LOG043</t>
  </si>
  <si>
    <t>Used in base casting</t>
  </si>
  <si>
    <t>LOG044</t>
  </si>
  <si>
    <t>4 labours</t>
  </si>
  <si>
    <t>LOG045</t>
  </si>
  <si>
    <t>Equipment</t>
  </si>
  <si>
    <t>Concrete Mixer</t>
  </si>
  <si>
    <t>hours</t>
  </si>
  <si>
    <t>Operated</t>
  </si>
  <si>
    <t>Mixer operation</t>
  </si>
  <si>
    <t>LOG046</t>
  </si>
  <si>
    <t>Concrete Vibrator</t>
  </si>
  <si>
    <t>Vibrator operation</t>
  </si>
  <si>
    <t>LOG047</t>
  </si>
  <si>
    <t>LOG048</t>
  </si>
  <si>
    <t>LOG049</t>
  </si>
  <si>
    <t>LOG050</t>
  </si>
  <si>
    <t>LOG051</t>
  </si>
  <si>
    <t>Basket production (adjusted)</t>
  </si>
  <si>
    <t>LOG052</t>
  </si>
  <si>
    <t>Labour for base casting</t>
  </si>
  <si>
    <t>LOG053</t>
  </si>
  <si>
    <t>LOG054</t>
  </si>
  <si>
    <t>LOG055</t>
  </si>
  <si>
    <t>LOG056</t>
  </si>
  <si>
    <t>LOG057</t>
  </si>
  <si>
    <t>LOG058</t>
  </si>
  <si>
    <t>LOG059</t>
  </si>
  <si>
    <t>LOG060</t>
  </si>
  <si>
    <t>LOG061</t>
  </si>
  <si>
    <t>LOG062</t>
  </si>
  <si>
    <t>LOG063</t>
  </si>
  <si>
    <t>Wall Casting</t>
  </si>
  <si>
    <t>LOG064</t>
  </si>
  <si>
    <t>Base &amp; wall casting</t>
  </si>
  <si>
    <t>LOG065</t>
  </si>
  <si>
    <t>LOG066</t>
  </si>
  <si>
    <t>Used in base &amp; wall</t>
  </si>
  <si>
    <t>LOG067</t>
  </si>
  <si>
    <t>Labour for base &amp; wall</t>
  </si>
  <si>
    <t>LOG068</t>
  </si>
  <si>
    <t>LOG069</t>
  </si>
  <si>
    <t>LOG070</t>
  </si>
  <si>
    <t>LOG071</t>
  </si>
  <si>
    <t>LOG072</t>
  </si>
  <si>
    <t>LOG073</t>
  </si>
  <si>
    <t>Sharp Sand</t>
  </si>
  <si>
    <t>trip</t>
  </si>
  <si>
    <t>First trip sharp sand</t>
  </si>
  <si>
    <t>LOG074</t>
  </si>
  <si>
    <t>LOG075</t>
  </si>
  <si>
    <t>LOG076</t>
  </si>
  <si>
    <t>LOG077</t>
  </si>
  <si>
    <t>Wall casting</t>
  </si>
  <si>
    <t>LOG078</t>
  </si>
  <si>
    <t>LOG079</t>
  </si>
  <si>
    <t>LOG080</t>
  </si>
  <si>
    <t>Granite</t>
  </si>
  <si>
    <t>First aggregate trip</t>
  </si>
  <si>
    <t>LOG081</t>
  </si>
  <si>
    <t>LOG082</t>
  </si>
  <si>
    <t>Labour for wall casting</t>
  </si>
  <si>
    <t>LOG083</t>
  </si>
  <si>
    <t>LOG084</t>
  </si>
  <si>
    <t>LOG085</t>
  </si>
  <si>
    <t>Drain repair</t>
  </si>
  <si>
    <t>LOG086</t>
  </si>
  <si>
    <t>LOG087</t>
  </si>
  <si>
    <t>LOG088</t>
  </si>
  <si>
    <t>LOG089</t>
  </si>
  <si>
    <t>Aggregate</t>
  </si>
  <si>
    <t>LOG090</t>
  </si>
  <si>
    <t>LOG091</t>
  </si>
  <si>
    <t>LOG092</t>
  </si>
  <si>
    <t>LOG093</t>
  </si>
  <si>
    <t>LOG094</t>
  </si>
  <si>
    <t>W9</t>
  </si>
  <si>
    <t>LOG095</t>
  </si>
  <si>
    <t>LOG096</t>
  </si>
  <si>
    <t>LOG097</t>
  </si>
  <si>
    <t>LOG098</t>
  </si>
  <si>
    <t>Howo trips</t>
  </si>
  <si>
    <t>LOG099</t>
  </si>
  <si>
    <t>LOG100</t>
  </si>
  <si>
    <t>LOG101</t>
  </si>
  <si>
    <t>LOG102</t>
  </si>
  <si>
    <t>LOG103</t>
  </si>
  <si>
    <t>LOG104</t>
  </si>
  <si>
    <t>LOG105</t>
  </si>
  <si>
    <t>LOG106</t>
  </si>
  <si>
    <t>LOG107</t>
  </si>
  <si>
    <t>LOG108</t>
  </si>
  <si>
    <t>LOG109</t>
  </si>
  <si>
    <t>LOG110</t>
  </si>
  <si>
    <t>LOG111</t>
  </si>
  <si>
    <t>LOG112</t>
  </si>
  <si>
    <t>LOG113</t>
  </si>
  <si>
    <t>LOG114</t>
  </si>
  <si>
    <t>LOG115</t>
  </si>
  <si>
    <t>LOG116</t>
  </si>
  <si>
    <t>LOG117</t>
  </si>
  <si>
    <t>No excavation repair</t>
  </si>
  <si>
    <t>LOG118</t>
  </si>
  <si>
    <t>Cement Missing</t>
  </si>
  <si>
    <t>Missing</t>
  </si>
  <si>
    <t>Store shortage identified</t>
  </si>
  <si>
    <t>Personal</t>
  </si>
  <si>
    <t>LOG119</t>
  </si>
  <si>
    <t>LOG120</t>
  </si>
  <si>
    <t>LOG121</t>
  </si>
  <si>
    <t>LOG122</t>
  </si>
  <si>
    <t>LOG123</t>
  </si>
  <si>
    <t>LOG124</t>
  </si>
  <si>
    <t>LOG125</t>
  </si>
  <si>
    <t>LOG126</t>
  </si>
  <si>
    <t>LOG127</t>
  </si>
  <si>
    <t>LOG128</t>
  </si>
  <si>
    <t>LOG129</t>
  </si>
  <si>
    <t>LOG130</t>
  </si>
  <si>
    <t>LOG131</t>
  </si>
  <si>
    <t>LOG132</t>
  </si>
  <si>
    <t>LOG133</t>
  </si>
  <si>
    <t>LOG134</t>
  </si>
  <si>
    <t>LOG135</t>
  </si>
  <si>
    <t>LOG136</t>
  </si>
  <si>
    <t>LOG137</t>
  </si>
  <si>
    <t>LOG138</t>
  </si>
  <si>
    <t>LOG139</t>
  </si>
  <si>
    <t>LOG140</t>
  </si>
  <si>
    <t>LOG141</t>
  </si>
  <si>
    <t>LOG142</t>
  </si>
  <si>
    <t>LOG143</t>
  </si>
  <si>
    <t>LOG144</t>
  </si>
  <si>
    <t>LOG145</t>
  </si>
  <si>
    <t>LOG146</t>
  </si>
  <si>
    <t>W10</t>
  </si>
  <si>
    <t>LOG147</t>
  </si>
  <si>
    <t>LOG148</t>
  </si>
  <si>
    <t>LOG149</t>
  </si>
  <si>
    <t>LOG150</t>
  </si>
  <si>
    <t>LOG151</t>
  </si>
  <si>
    <t>Pickup</t>
  </si>
  <si>
    <t>LOG152</t>
  </si>
  <si>
    <t>LOG153</t>
  </si>
  <si>
    <t>LOG154</t>
  </si>
  <si>
    <t>LOG155</t>
  </si>
  <si>
    <t>LOG156</t>
  </si>
  <si>
    <t>Wall casting &amp; access slab</t>
  </si>
  <si>
    <t>LOG157</t>
  </si>
  <si>
    <t>LOG158</t>
  </si>
  <si>
    <t>LOG159</t>
  </si>
  <si>
    <t>LOG160</t>
  </si>
  <si>
    <t>LOG161</t>
  </si>
  <si>
    <t>LOG162</t>
  </si>
  <si>
    <t>Adjustment</t>
  </si>
  <si>
    <t>Engineer reconciliation (add)</t>
  </si>
  <si>
    <t>LOG163</t>
  </si>
  <si>
    <t>LOG164</t>
  </si>
  <si>
    <t>LOG165</t>
  </si>
  <si>
    <t>LOG166</t>
  </si>
  <si>
    <t>LOG167</t>
  </si>
  <si>
    <t>Howo</t>
  </si>
  <si>
    <t>LOG168</t>
  </si>
  <si>
    <t>LOG169</t>
  </si>
  <si>
    <t>LOG170</t>
  </si>
  <si>
    <t>LOG171</t>
  </si>
  <si>
    <t>LOG172</t>
  </si>
  <si>
    <t>LOG173</t>
  </si>
  <si>
    <t>LOG174</t>
  </si>
  <si>
    <t>LOG175</t>
  </si>
  <si>
    <t>LOG176</t>
  </si>
  <si>
    <t>LOG177</t>
  </si>
  <si>
    <t>LOG178</t>
  </si>
  <si>
    <t>Additional cement delivery</t>
  </si>
  <si>
    <t>LOG179</t>
  </si>
  <si>
    <t>Stolen cement</t>
  </si>
  <si>
    <t>LOG180</t>
  </si>
  <si>
    <t>LOG181</t>
  </si>
  <si>
    <t>LOG182</t>
  </si>
  <si>
    <t>LOG183</t>
  </si>
  <si>
    <t>LOG184</t>
  </si>
  <si>
    <t>LOG185</t>
  </si>
  <si>
    <t>LOG186</t>
  </si>
  <si>
    <t>LOG187</t>
  </si>
  <si>
    <t>LOG188</t>
  </si>
  <si>
    <t>LOG189</t>
  </si>
  <si>
    <t>LOG190</t>
  </si>
  <si>
    <t>LOG191</t>
  </si>
  <si>
    <t>LOG192</t>
  </si>
  <si>
    <t>LOG193</t>
  </si>
  <si>
    <t>LOG194</t>
  </si>
  <si>
    <t>LOG195</t>
  </si>
  <si>
    <t>LOG196</t>
  </si>
  <si>
    <t>LOG197</t>
  </si>
  <si>
    <t>LOG198</t>
  </si>
  <si>
    <t>W11</t>
  </si>
  <si>
    <t>LOG199</t>
  </si>
  <si>
    <t>New excavation</t>
  </si>
  <si>
    <t>LOG200</t>
  </si>
  <si>
    <t>LOG201</t>
  </si>
  <si>
    <t>LOG202</t>
  </si>
  <si>
    <t>LOG203</t>
  </si>
  <si>
    <t>LOG204</t>
  </si>
  <si>
    <t>LOG205</t>
  </si>
  <si>
    <t>LOG206</t>
  </si>
  <si>
    <t>LOG207</t>
  </si>
  <si>
    <t>LOG208</t>
  </si>
  <si>
    <t>LOG209</t>
  </si>
  <si>
    <t>Wall, base, culvert</t>
  </si>
  <si>
    <t>LOG210</t>
  </si>
  <si>
    <t>LOG211</t>
  </si>
  <si>
    <t>LOG212</t>
  </si>
  <si>
    <t>LOG213</t>
  </si>
  <si>
    <t>LOG214</t>
  </si>
  <si>
    <t>LOG215</t>
  </si>
  <si>
    <t>LOG216</t>
  </si>
  <si>
    <t>LOG217</t>
  </si>
  <si>
    <t>LOG218</t>
  </si>
  <si>
    <t>LOG219</t>
  </si>
  <si>
    <t>LOG220</t>
  </si>
  <si>
    <t>LOG221</t>
  </si>
  <si>
    <t>LOG222</t>
  </si>
  <si>
    <t>LOG223</t>
  </si>
  <si>
    <t>LOG224</t>
  </si>
  <si>
    <t>LOG225</t>
  </si>
  <si>
    <t>LOG226</t>
  </si>
  <si>
    <t>LOG227</t>
  </si>
  <si>
    <t>LOG228</t>
  </si>
  <si>
    <t>LOG229</t>
  </si>
  <si>
    <t>LOG230</t>
  </si>
  <si>
    <t>LOG231</t>
  </si>
  <si>
    <t>LOG232</t>
  </si>
  <si>
    <t>Culvert trench</t>
  </si>
  <si>
    <t>LOG233</t>
  </si>
  <si>
    <t>LOG234</t>
  </si>
  <si>
    <t>Base &amp; culvert base</t>
  </si>
  <si>
    <t>LOG235</t>
  </si>
  <si>
    <t>LOG236</t>
  </si>
  <si>
    <t>LOG237</t>
  </si>
  <si>
    <t>LOG238</t>
  </si>
  <si>
    <t>LOG239</t>
  </si>
  <si>
    <t>LOG240</t>
  </si>
  <si>
    <t>LOG241</t>
  </si>
  <si>
    <t>LOG242</t>
  </si>
  <si>
    <t>LOG243</t>
  </si>
  <si>
    <t>LOG244</t>
  </si>
  <si>
    <t>LOG245</t>
  </si>
  <si>
    <t>LOG246</t>
  </si>
  <si>
    <t>W12</t>
  </si>
  <si>
    <t>LOG247</t>
  </si>
  <si>
    <t>Wall &amp; culvert wall</t>
  </si>
  <si>
    <t>LOG248</t>
  </si>
  <si>
    <t>Wall &amp; culvert</t>
  </si>
  <si>
    <t>LOG249</t>
  </si>
  <si>
    <t>LOG250</t>
  </si>
  <si>
    <t>LOG251</t>
  </si>
  <si>
    <t>LOG252</t>
  </si>
  <si>
    <t>LOG253</t>
  </si>
  <si>
    <t>LOG254</t>
  </si>
  <si>
    <t>Wall &amp; culvert deck</t>
  </si>
  <si>
    <t>LOG255</t>
  </si>
  <si>
    <t>LOG256</t>
  </si>
  <si>
    <t>LOG257</t>
  </si>
  <si>
    <t>LOG258</t>
  </si>
  <si>
    <t>LOG259</t>
  </si>
  <si>
    <t>W13</t>
  </si>
  <si>
    <t>LOG260</t>
  </si>
  <si>
    <t>LOG261</t>
  </si>
  <si>
    <t>LOG262</t>
  </si>
  <si>
    <t>LOG263</t>
  </si>
  <si>
    <t>LOG264</t>
  </si>
  <si>
    <t>LOG265</t>
  </si>
  <si>
    <t>LOG266</t>
  </si>
  <si>
    <t>LOG267</t>
  </si>
  <si>
    <t>LOG268</t>
  </si>
  <si>
    <t>LOG269</t>
  </si>
  <si>
    <t>LOG270</t>
  </si>
  <si>
    <t>LOG271</t>
  </si>
  <si>
    <t>W14</t>
  </si>
  <si>
    <t>LOG272</t>
  </si>
  <si>
    <t>LOG273</t>
  </si>
  <si>
    <t>LOG274</t>
  </si>
  <si>
    <t>LOG275</t>
  </si>
  <si>
    <t>LOG276</t>
  </si>
  <si>
    <t>LOG277</t>
  </si>
  <si>
    <t>Trench excavation</t>
  </si>
  <si>
    <t>LOG278</t>
  </si>
  <si>
    <t>LOG279</t>
  </si>
  <si>
    <t>LOG280</t>
  </si>
  <si>
    <t>Wall &amp; base casting</t>
  </si>
  <si>
    <t>LOG281</t>
  </si>
  <si>
    <t>LOG282</t>
  </si>
  <si>
    <t>LOG283</t>
  </si>
  <si>
    <t>LOG284</t>
  </si>
  <si>
    <t>LOG285</t>
  </si>
  <si>
    <t>LOG286</t>
  </si>
  <si>
    <t>Wall &amp; culvert apron</t>
  </si>
  <si>
    <t>LOG287</t>
  </si>
  <si>
    <t>Culvert &amp; wall</t>
  </si>
  <si>
    <t>LOG288</t>
  </si>
  <si>
    <t>LOG289</t>
  </si>
  <si>
    <t>LOG290</t>
  </si>
  <si>
    <t>LOG291</t>
  </si>
  <si>
    <t>Culvert wing wall</t>
  </si>
  <si>
    <t>LOG292</t>
  </si>
  <si>
    <t>LOG293</t>
  </si>
  <si>
    <t>Labour for culvert</t>
  </si>
  <si>
    <t>LOG294</t>
  </si>
  <si>
    <t>LOG295</t>
  </si>
  <si>
    <t>LOG296</t>
  </si>
  <si>
    <t>Culvert &amp; slab</t>
  </si>
  <si>
    <t>LOG297</t>
  </si>
  <si>
    <t>LOG298</t>
  </si>
  <si>
    <t>Additional to reach 34 total</t>
  </si>
  <si>
    <t>LOG299</t>
  </si>
  <si>
    <t>LOG300</t>
  </si>
  <si>
    <t>LOG301</t>
  </si>
  <si>
    <t>LOG302</t>
  </si>
  <si>
    <t>LOG303</t>
  </si>
  <si>
    <t>Base &amp; maintenance</t>
  </si>
  <si>
    <t>LOG304</t>
  </si>
  <si>
    <t>LOG305</t>
  </si>
  <si>
    <t>Purchased</t>
  </si>
  <si>
    <t>LOG306</t>
  </si>
  <si>
    <t>LOG307</t>
  </si>
  <si>
    <t>LOG308</t>
  </si>
  <si>
    <t>LOG309</t>
  </si>
  <si>
    <t>Slab casting</t>
  </si>
  <si>
    <t>LOG310</t>
  </si>
  <si>
    <t>LOG311</t>
  </si>
  <si>
    <t>LOG312</t>
  </si>
  <si>
    <t>Labour for slab casting</t>
  </si>
  <si>
    <t>LOG313</t>
  </si>
  <si>
    <t>LOG314</t>
  </si>
  <si>
    <t>LOG315</t>
  </si>
  <si>
    <t>W15</t>
  </si>
  <si>
    <t>LOG316</t>
  </si>
  <si>
    <t>LOG317</t>
  </si>
  <si>
    <t>LOG318</t>
  </si>
  <si>
    <t>LOG319</t>
  </si>
  <si>
    <t>LOG320</t>
  </si>
  <si>
    <t>LOG321</t>
  </si>
  <si>
    <t>Maintenance</t>
  </si>
  <si>
    <t>LOG322</t>
  </si>
  <si>
    <t>Labour for maintenance</t>
  </si>
  <si>
    <t>LOG323</t>
  </si>
  <si>
    <t>Curing</t>
  </si>
  <si>
    <t>LOG324</t>
  </si>
  <si>
    <t>Curing (no trips recorded)</t>
  </si>
  <si>
    <t>LOG325</t>
  </si>
  <si>
    <t>Labour for curing</t>
  </si>
  <si>
    <t>LOG326</t>
  </si>
  <si>
    <t>Laterite</t>
  </si>
  <si>
    <t>Road Section</t>
  </si>
  <si>
    <t>Laterite bulk</t>
  </si>
  <si>
    <t>LOG327</t>
  </si>
  <si>
    <t>W16</t>
  </si>
  <si>
    <t>11 pickup +12 6-tyre</t>
  </si>
  <si>
    <t>LOG328</t>
  </si>
  <si>
    <t>LOG329</t>
  </si>
  <si>
    <t>6-tyre truck</t>
  </si>
  <si>
    <t>LOG330</t>
  </si>
  <si>
    <t>Stone Base</t>
  </si>
  <si>
    <t>1st-4th trips</t>
  </si>
  <si>
    <t>LOG331</t>
  </si>
  <si>
    <t>Stone base (aggregate)</t>
  </si>
  <si>
    <t>LOG332</t>
  </si>
  <si>
    <t>Trips 1-4</t>
  </si>
  <si>
    <t>LOG333</t>
  </si>
  <si>
    <t>3 labours</t>
  </si>
  <si>
    <t>LOG334</t>
  </si>
  <si>
    <t>W17</t>
  </si>
  <si>
    <t>LOG335</t>
  </si>
  <si>
    <t>LOG338</t>
  </si>
  <si>
    <t>Stone base trip</t>
  </si>
  <si>
    <t>LOG339</t>
  </si>
  <si>
    <t>W18</t>
  </si>
  <si>
    <t>LOG340</t>
  </si>
  <si>
    <t>Cement Spillage</t>
  </si>
  <si>
    <t>Spilled</t>
  </si>
  <si>
    <t>Damaged/unrecoverable bag</t>
  </si>
  <si>
    <t>Store Count</t>
  </si>
  <si>
    <t>LOG341</t>
  </si>
  <si>
    <t>Cement Remaining</t>
  </si>
  <si>
    <t>Remaining</t>
  </si>
  <si>
    <t>Final cement balance</t>
  </si>
  <si>
    <t>LOG342</t>
  </si>
  <si>
    <t>Y8 Remaining</t>
  </si>
  <si>
    <t>pcs</t>
  </si>
  <si>
    <t>Remaining reinforcement</t>
  </si>
  <si>
    <t>LOG343</t>
  </si>
  <si>
    <t>Y10 Remaining</t>
  </si>
  <si>
    <t>LOG344</t>
  </si>
  <si>
    <t>Y16 Remaining</t>
  </si>
  <si>
    <t>LOG345</t>
  </si>
  <si>
    <t>Reconciliation adjustment to reach 909</t>
  </si>
  <si>
    <t>LOG346</t>
  </si>
  <si>
    <t>Corner casting</t>
  </si>
  <si>
    <t>LOG347</t>
  </si>
  <si>
    <t>Tricycle</t>
  </si>
  <si>
    <t>Excavation_Cost_NGN</t>
  </si>
  <si>
    <t>Y16 rebar delivery</t>
  </si>
  <si>
    <t>Y10 rebar delivery</t>
  </si>
  <si>
    <t>Y8 rebar delivery</t>
  </si>
  <si>
    <t>LOG336</t>
  </si>
  <si>
    <t>LOG337</t>
  </si>
  <si>
    <t>LOG348</t>
  </si>
  <si>
    <t>Y16 Rebar Delivered</t>
  </si>
  <si>
    <t>Y10 Rebar Delivered</t>
  </si>
  <si>
    <t>Y8 Rebar Delivered</t>
  </si>
  <si>
    <t>Excavation_Rate</t>
  </si>
  <si>
    <t>Base_Casting_Cost_NGN</t>
  </si>
  <si>
    <t>Wall_Casting_Cost_NGN</t>
  </si>
  <si>
    <t>Water_Trip_Cost_NGN</t>
  </si>
  <si>
    <t>Site A</t>
  </si>
  <si>
    <t>Site B</t>
  </si>
  <si>
    <t>CONSTRUCTION DATA ANALYTICS &amp; OPERATIONS PORTFOLIO</t>
  </si>
  <si>
    <t>ROAD DRAINAGE CONSTRUCTION PROJECT</t>
  </si>
  <si>
    <t>ROTIMI S. OMOSEWO</t>
  </si>
  <si>
    <t>Construction Business Intelligence Reporting</t>
  </si>
  <si>
    <t>Bachelor of Science (B.Sc.) in Computer Science</t>
  </si>
  <si>
    <t>27 January 2026 – 30 April 2026</t>
  </si>
  <si>
    <t>Road Drainage Construction Project</t>
  </si>
  <si>
    <t>The 500-metre figure represents the physical drainage corridor length.</t>
  </si>
  <si>
    <t>KEY ACHIEVEMENTS</t>
  </si>
  <si>
    <t>PORTFOLIO PURPOSE</t>
  </si>
  <si>
    <t>This portfolio demonstrates practical experience in:</t>
  </si>
  <si>
    <t>ACCESSIBILITY NOTE</t>
  </si>
  <si>
    <t>PORTFOLIO FOCUS</t>
  </si>
  <si>
    <t>Construction Data Analytics</t>
  </si>
  <si>
    <t>Construction Operations Reporting</t>
  </si>
  <si>
    <t>ACADEMIC BACKGROUND</t>
  </si>
  <si>
    <t>CONSTRUCTION EXPERIENCE</t>
  </si>
  <si>
    <t>3+ Years Construction Operations Support Experience</t>
  </si>
  <si>
    <t>Areas of Responsibility:</t>
  </si>
  <si>
    <t>• Material Management</t>
  </si>
  <si>
    <t>• Inventory Control</t>
  </si>
  <si>
    <t>• Site Documentation</t>
  </si>
  <si>
    <t>• Record Keeping</t>
  </si>
  <si>
    <t>• Requisition Preparation</t>
  </si>
  <si>
    <t>• Reporting Support</t>
  </si>
  <si>
    <t>• Site Administration</t>
  </si>
  <si>
    <t>• Construction Activity Tracking</t>
  </si>
  <si>
    <t>• Inventory Reconciliation</t>
  </si>
  <si>
    <t>• Support to Site Engineers and Supervisors</t>
  </si>
  <si>
    <t>DATA ANALYTICS EXPERIENCE</t>
  </si>
  <si>
    <t>5+ Years Self-Learning, Analytics Practice, and Portfolio Development</t>
  </si>
  <si>
    <t>CORE STRENGTHS</t>
  </si>
  <si>
    <t>• Construction Data Management and Reporting</t>
  </si>
  <si>
    <t>• Material Tracking and Inventory Reconciliation</t>
  </si>
  <si>
    <t>• KPI Development and Performance Analysis</t>
  </si>
  <si>
    <t>• Dashboard Creation and Data Visualization</t>
  </si>
  <si>
    <t>• Cost Monitoring and Operational Reporting</t>
  </si>
  <si>
    <t>• Structured Documentation and Reporting</t>
  </si>
  <si>
    <t>• Digital Reporting and Remote Collaboration</t>
  </si>
  <si>
    <t>TECHNICAL SKILLS</t>
  </si>
  <si>
    <t>Microsoft Excel</t>
  </si>
  <si>
    <t>Power BI</t>
  </si>
  <si>
    <t>SQL</t>
  </si>
  <si>
    <t>Python</t>
  </si>
  <si>
    <t>Construction Reporting</t>
  </si>
  <si>
    <t>KPI Development</t>
  </si>
  <si>
    <t>Data Visualization</t>
  </si>
  <si>
    <t>Dashboard Development</t>
  </si>
  <si>
    <t>Inventory Reconciliation</t>
  </si>
  <si>
    <t>Material Tracking</t>
  </si>
  <si>
    <t>Cost Analysis</t>
  </si>
  <si>
    <t>Operations Reporting</t>
  </si>
  <si>
    <t>Data Cleaning</t>
  </si>
  <si>
    <t>Data Validation</t>
  </si>
  <si>
    <t>Performance Monitoring</t>
  </si>
  <si>
    <t>Business Intelligence Reporting</t>
  </si>
  <si>
    <t>PROJECT INFORMATION</t>
  </si>
  <si>
    <t>14 Weeks</t>
  </si>
  <si>
    <t>Project Sites:</t>
  </si>
  <si>
    <t>• Site A – Approx. 200 Metres</t>
  </si>
  <si>
    <t>• Site B – Approx. 300 Metres</t>
  </si>
  <si>
    <t>CONSTRUCTION QUANTITIES TRACKED</t>
  </si>
  <si>
    <t>• Total Excavation Activities: 1,948.3 Metres</t>
  </si>
  <si>
    <t>• Total Base Casting: 1,012.5 Metres</t>
  </si>
  <si>
    <t>• Total Wall Casting: 1,021.5 Metres</t>
  </si>
  <si>
    <t>• Total Concrete Casting Activities: 2,034.0 Metres</t>
  </si>
  <si>
    <t>PROJECT NOTE</t>
  </si>
  <si>
    <t>Excavation, excavation repairs, base casting, wall casting, and related construction activities were measured and recorded separately throughout the project lifecycle.</t>
  </si>
  <si>
    <t>As a result, cumulative activity quantities exceed the physical project length.</t>
  </si>
  <si>
    <t>• Maintained and analysed 348 verified project records.</t>
  </si>
  <si>
    <t>• Tracked 950 cement bags delivered, 909 used, 36 missing, 1 spillage, and 4 remaining.</t>
  </si>
  <si>
    <t>• Monitored excavation, casting, labour, equipment, material, and cost activities throughout the project.</t>
  </si>
  <si>
    <t>• Recorded 514 water supply trips, 235 concrete mixer hours, and 161 concrete vibrator hours.</t>
  </si>
  <si>
    <t>• Managed reinforcement, aggregate, and inventory records with complete traceability.</t>
  </si>
  <si>
    <t>• Achieved full inventory reconciliation where delivered quantities matched usage, shortages, losses, and closing balances.</t>
  </si>
  <si>
    <t>• Produced KPI reports, activity summaries, material analyses, cost reports, and performance metrics.</t>
  </si>
  <si>
    <t>• Supported engineers and site supervisors through documentation, requisitions, reporting, and operational tracking.</t>
  </si>
  <si>
    <t>• Construction Operations Documentation and Reporting</t>
  </si>
  <si>
    <t>• Material Management and Inventory Control</t>
  </si>
  <si>
    <t>• Cost Monitoring and Performance Analysis</t>
  </si>
  <si>
    <t>• Construction Data Analytics Using Structured Project Datasets</t>
  </si>
  <si>
    <t>• KPI Development, Reconciliation, and Dashboard Reporting</t>
  </si>
  <si>
    <t>• Data-Driven Decision Support for Construction Operations</t>
  </si>
  <si>
    <t>• Business Intelligence Reporting for Construction Activities</t>
  </si>
  <si>
    <t>This portfolio demonstrates strengths in:</t>
  </si>
  <si>
    <t>• Written Communication</t>
  </si>
  <si>
    <t>• Structured Documentation</t>
  </si>
  <si>
    <t>• Digital Reporting Systems</t>
  </si>
  <si>
    <t>• Spreadsheet-Based Analysis</t>
  </si>
  <si>
    <t>• KPI Reporting</t>
  </si>
  <si>
    <t>• Dashboard Development</t>
  </si>
  <si>
    <t>• Data-Driven Workflows</t>
  </si>
  <si>
    <t>The portfolio highlights the ability to deliver accurate reporting, analysis, documentation, and operational insights through structured, technology-driven processes.</t>
  </si>
  <si>
    <t>CONFIDENTIALITY NOTICE</t>
  </si>
  <si>
    <t>Project company names, road names, and specific identifiers have been removed or generalised for confidentiality and professional portfolio purposes.</t>
  </si>
  <si>
    <t>PROJECT OVERVIEW</t>
  </si>
  <si>
    <t>A 14-week road drainage construction project executed across two sites</t>
  </si>
  <si>
    <t>(Site A – 200 m and Site B – 300 m) in Northeast Nigeria.</t>
  </si>
  <si>
    <t>The project involved excavation, excavation repair, concrete base casting,</t>
  </si>
  <si>
    <t>wall casting, water supply operations, material tracking, equipment</t>
  </si>
  <si>
    <t>utilisation monitoring, inventory reconciliation, and cost reporting.</t>
  </si>
  <si>
    <t>Key activities recorded included 1,948.3 m of excavation works,</t>
  </si>
  <si>
    <t>2,034.0 m of concrete casting activities, 514 water supply trips,</t>
  </si>
  <si>
    <t>and 909 cement bags consumed throughout the project lifecycle.</t>
  </si>
  <si>
    <t>MY ROLE</t>
  </si>
  <si>
    <t>Material Store Management → Documentation → Data Recording →</t>
  </si>
  <si>
    <t>Reporting → Analysis</t>
  </si>
  <si>
    <t>• Recorded and maintained 348 verified project activity records</t>
  </si>
  <si>
    <t>• Monitored labour costs across 61 payment records (₦744,500 total)</t>
  </si>
  <si>
    <t>• Logged equipment utilisation (235 mixer hours and 161 vibrator hours)</t>
  </si>
  <si>
    <t>• Reconciled inventory shortages, losses, usage, and closing balances</t>
  </si>
  <si>
    <t>• Produced KPI reports, cost summaries, material analyses, and performance reports</t>
  </si>
  <si>
    <t>• Supported engineers and site supervisors through structured reporting,</t>
  </si>
  <si>
    <t>WHAT WAS ACHIEVED</t>
  </si>
  <si>
    <t>• Total project cost recorded and reported: ₦4,487,370</t>
  </si>
  <si>
    <t>• Site A: ₦2,172,520 (48.4%)</t>
  </si>
  <si>
    <t>• Site B: ₦2,274,850 (50.7%)</t>
  </si>
  <si>
    <t>• Road Section: ₦40,000 (0.9%)</t>
  </si>
  <si>
    <t>• Maintained a structured dataset comprising 348 verified records</t>
  </si>
  <si>
    <t>Total Project Cost Recorded: ₦4,487,370</t>
  </si>
  <si>
    <t>Total Verified Log Records: 348</t>
  </si>
  <si>
    <t>Construction Data Reporting, Inventory Control &amp; Operations Support</t>
  </si>
  <si>
    <t>• Tracked cement and reinforcement inventory from delivery through project close-out</t>
  </si>
  <si>
    <t>• Prepared material requisitions and supported site documentation activities</t>
  </si>
  <si>
    <t xml:space="preserve">  documentation, inventory tracking, and operational monitoring</t>
  </si>
  <si>
    <t>Material Control</t>
  </si>
  <si>
    <t>Reinforcement Tracking</t>
  </si>
  <si>
    <t>• Y8: 840 Delivered → 748 Used → 92 Remaining</t>
  </si>
  <si>
    <t>• Y10: 402 Delivered → 377 Used → 25 Remaining</t>
  </si>
  <si>
    <t>• Y16: 54 Delivered → 52 Used → 2 Remaining</t>
  </si>
  <si>
    <t>Cost Reporting</t>
  </si>
  <si>
    <t>Operational Reporting</t>
  </si>
  <si>
    <t>• Tracked excavation, casting, labour, material, equipment and inventory activities across 14 project weeks</t>
  </si>
  <si>
    <t>• Maintained complete activity records supporting project reporting and performance monitoring</t>
  </si>
  <si>
    <t>• Developed structured summaries suitable for dashboard reporting and KPI analysis</t>
  </si>
  <si>
    <t>Data Quality</t>
  </si>
  <si>
    <t>• Standardised activity, material, equipment, inventory and cost reporting</t>
  </si>
  <si>
    <t>• Achieved complete reconciliation between operational records, inventory records, cost reports and project summary reports</t>
  </si>
  <si>
    <t>• Established a reporting structure suitable for KPI tracking, dashboard development and business intelligence analysis</t>
  </si>
  <si>
    <t>This portfolio demonstrates practical experience in construction data reporting,</t>
  </si>
  <si>
    <t>inventory management, material reconciliation, cost tracking, KPI development,</t>
  </si>
  <si>
    <t>and operational performance analysis.</t>
  </si>
  <si>
    <t>The project dataset was developed from actual site records and structured into a</t>
  </si>
  <si>
    <t>reporting framework suitable for:</t>
  </si>
  <si>
    <t>• Microsoft Excel Analysis</t>
  </si>
  <si>
    <t>• Power BI Dashboard Development</t>
  </si>
  <si>
    <t>• Construction KPI Reporting</t>
  </si>
  <si>
    <t>• Inventory Analytics</t>
  </si>
  <si>
    <t>• Cost Monitoring &amp; Reconciliation</t>
  </si>
  <si>
    <t>• Operational Performance Reporting</t>
  </si>
  <si>
    <t>• Business Intelligence Reporting</t>
  </si>
  <si>
    <t>The portfolio highlights the application of data analytics principles to real-world</t>
  </si>
  <si>
    <t>construction operations through structured reporting, data validation, cost analysis,</t>
  </si>
  <si>
    <t>inventory control, and decision-support reporting.</t>
  </si>
  <si>
    <t>EXECUTIVE SUMMARY</t>
  </si>
  <si>
    <t>n</t>
  </si>
  <si>
    <t>Construction Data Reporting, Inventory Control &amp; Site Operations Support</t>
  </si>
  <si>
    <t>Material Store Management → Documentation → Data Recording → Reporting → Analysis</t>
  </si>
  <si>
    <t>All reporting, coordination, and documentation activities were performed primarily through written communication, spreadsheets, digital records, and structured reporting systems.</t>
  </si>
  <si>
    <t>Cement Reconciliation</t>
  </si>
  <si>
    <t>All project records were verified against activity logs, material summaries, cost reports, KPI reports, inventory records, and portfolio documentation.</t>
  </si>
  <si>
    <t>• Site A (Approx. 200 m)</t>
  </si>
  <si>
    <t>• Site B (Approx. 300 m)</t>
  </si>
  <si>
    <t>• Construction Activity Tracking and Reporting</t>
  </si>
  <si>
    <t>• Material and Inventory Monitoring</t>
  </si>
  <si>
    <t>• Equipment Utilisation Recording and Analysis</t>
  </si>
  <si>
    <t>• Labour and Cost Tracking</t>
  </si>
  <si>
    <t>• KPI Development and Performance Reporting</t>
  </si>
  <si>
    <t>• Project Documentation and Record Management</t>
  </si>
  <si>
    <t>• Material Reconciliation and Inventory Verification</t>
  </si>
  <si>
    <t>• Progress Monitoring and Operational Reporting</t>
  </si>
  <si>
    <t>• Tracked 950 cement bags from delivery through project close-out</t>
  </si>
  <si>
    <t>• Recorded 909 cement bags utilised in construction activities</t>
  </si>
  <si>
    <t>• Achieved full inventory reconciliation between deliveries, usage, losses, and closing balances</t>
  </si>
  <si>
    <t>• Recorded and maintained daily construction activity records</t>
  </si>
  <si>
    <t>• Tracked material deliveries, consumption, losses, and balances</t>
  </si>
  <si>
    <t>• Managed cement and reinforcement inventory records</t>
  </si>
  <si>
    <t>• Prepared and monitored material requisitions and site documentation</t>
  </si>
  <si>
    <t>• Logged equipment utilisation and operational performance</t>
  </si>
  <si>
    <t>• Recorded labour costs and construction activities</t>
  </si>
  <si>
    <t>• Produced weekly progress summaries and operational reports</t>
  </si>
  <si>
    <t>• Conducted material reconciliation and inventory verification</t>
  </si>
  <si>
    <t>• Generated KPI summaries, cost reports, and performance analyses</t>
  </si>
  <si>
    <t>• Supported engineers and site supervisors with project information, documentation, and reporting requirements</t>
  </si>
  <si>
    <t>DATA DICTIONARY</t>
  </si>
  <si>
    <t>FIELD DEFINITIONS</t>
  </si>
  <si>
    <t>Field</t>
  </si>
  <si>
    <t>Description</t>
  </si>
  <si>
    <t>Log Id</t>
  </si>
  <si>
    <t>Labour Cost Ngn</t>
  </si>
  <si>
    <t>Mixer Hours</t>
  </si>
  <si>
    <t>Vibrator Hours</t>
  </si>
  <si>
    <t>Excavation Rate</t>
  </si>
  <si>
    <t>Excavation Cost Ngn</t>
  </si>
  <si>
    <t>Base Casting Cost Ngn</t>
  </si>
  <si>
    <t>Wall Casting Cost Ngn</t>
  </si>
  <si>
    <t>Water Trip Cost Ngn</t>
  </si>
  <si>
    <t>Excavation – Site A</t>
  </si>
  <si>
    <t>Excavation – Site B</t>
  </si>
  <si>
    <t>Unique Record Identifier (Log001 – Log348)</t>
  </si>
  <si>
    <t>Activity Date</t>
  </si>
  <si>
    <t>Day Of Week</t>
  </si>
  <si>
    <t>Project Week (W5 – W18)</t>
  </si>
  <si>
    <t>Record Type (Work, Cost, Material, Operations, Equipment, Adjustment)</t>
  </si>
  <si>
    <t>Specific Activity Or Material</t>
  </si>
  <si>
    <t>Numeric Amount (M, Bags, Hours, Trips, Pcs, Nos)</t>
  </si>
  <si>
    <t>Measurement Unit</t>
  </si>
  <si>
    <t>Status (Completed, Paid, Delivered, Used, Produced, Operated, Missing, Spilled, Remaining)</t>
  </si>
  <si>
    <t>Site A, Site B, Road Section, Main Store</t>
  </si>
  <si>
    <t>Free Text Description</t>
  </si>
  <si>
    <t>Reporter (Group, Personal, Store Count)</t>
  </si>
  <si>
    <t>Labour Payment In Ngn</t>
  </si>
  <si>
    <t>Concrete Mixer Hours</t>
  </si>
  <si>
    <t>Concrete Vibrator Hours</t>
  </si>
  <si>
    <t>Rate Per Metre (Ngn/M)</t>
  </si>
  <si>
    <t>Quantity × Rate</t>
  </si>
  <si>
    <t>Quantity × 500 Ngn/M</t>
  </si>
  <si>
    <t>Quantity × 1,000 Ngn/M</t>
  </si>
  <si>
    <t>Quantity × 1,000 Ngn/Trip</t>
  </si>
  <si>
    <t>Category Codes</t>
  </si>
  <si>
    <t>Excavation, Excavation Repair</t>
  </si>
  <si>
    <t>Cement, Rebar Deliveries &amp; Shortages</t>
  </si>
  <si>
    <t>Casting, Water Supply, Aggregate, Baskets</t>
  </si>
  <si>
    <t>Mixer, Vibrator</t>
  </si>
  <si>
    <t>Engineer Reconciliation</t>
  </si>
  <si>
    <t>Location Codes</t>
  </si>
  <si>
    <t>Main Drain Site (Weeks 5–9)</t>
  </si>
  <si>
    <t>Second Drain Site (Weeks 10–18)</t>
  </si>
  <si>
    <t>Laterite And Stone Base Works</t>
  </si>
  <si>
    <t>Material Inventory</t>
  </si>
  <si>
    <t>Unit Rates</t>
  </si>
  <si>
    <t>800 Ngn/M</t>
  </si>
  <si>
    <t>1,000 Ngn/M</t>
  </si>
  <si>
    <t>500 Ngn/M</t>
  </si>
  <si>
    <t>1,000 Ngn/Trip</t>
  </si>
  <si>
    <t>Site A &amp; Site B (Confidential Project), NIGERIA</t>
  </si>
  <si>
    <t>Project Duration</t>
  </si>
  <si>
    <t>27 January 2026 — 30 April 2026</t>
  </si>
  <si>
    <t>Active Weeks</t>
  </si>
  <si>
    <t>W5 – W18 (14 Weeks)</t>
  </si>
  <si>
    <t>Excavation (New) M</t>
  </si>
  <si>
    <t>Excavation Repair M</t>
  </si>
  <si>
    <t>Base Casting M</t>
  </si>
  <si>
    <t>Wall Casting M</t>
  </si>
  <si>
    <t>Water Trips</t>
  </si>
  <si>
    <t>Total</t>
  </si>
  <si>
    <t>Reinforcement Baskets</t>
  </si>
  <si>
    <t>235 Hours</t>
  </si>
  <si>
    <t>161 Hours</t>
  </si>
  <si>
    <t>67 Trips</t>
  </si>
  <si>
    <t>9 Trips</t>
  </si>
  <si>
    <t>34 Trips</t>
  </si>
  <si>
    <t>8 Trips</t>
  </si>
  <si>
    <t>950 Bags</t>
  </si>
  <si>
    <t>909 Bags</t>
  </si>
  <si>
    <t>36 Bags</t>
  </si>
  <si>
    <t>1 Bag</t>
  </si>
  <si>
    <t>4 Bags</t>
  </si>
  <si>
    <t>Key Milestones</t>
  </si>
  <si>
    <t>First Excavation</t>
  </si>
  <si>
    <t>27 January 2026 (Site A)</t>
  </si>
  <si>
    <t>First Concrete Base Pour</t>
  </si>
  <si>
    <t>16 February 2026 (Site A, Week 8)</t>
  </si>
  <si>
    <t>First Wall Cast</t>
  </si>
  <si>
    <t>19 February 2026 (Site A, Week 8)</t>
  </si>
  <si>
    <t>Peak Weekly Base Cast</t>
  </si>
  <si>
    <t>354 M (Week 8, Site A)</t>
  </si>
  <si>
    <t>Peak Weekly Wall Cast</t>
  </si>
  <si>
    <t>301.8 M (Week 9, Site A)</t>
  </si>
  <si>
    <t>Peak Daily Base Cast</t>
  </si>
  <si>
    <t>120 M (6 March 2026, Site B)</t>
  </si>
  <si>
    <t>Peak Daily Wall Cast</t>
  </si>
  <si>
    <t>80 M (28 February 2026, Site A)</t>
  </si>
  <si>
    <t>Project Close-Out</t>
  </si>
  <si>
    <t>Locations Used</t>
  </si>
  <si>
    <t>Drain Construction – Primary Site For Weeks 5–9</t>
  </si>
  <si>
    <t>Drain Construction – Primary Site For Weeks 10–18</t>
  </si>
  <si>
    <t>Laterite Fill, Stone Base – Weeks 15–17</t>
  </si>
  <si>
    <t>Material Inventory – Final Week</t>
  </si>
  <si>
    <t>Activity &amp; Material Summary</t>
  </si>
  <si>
    <t>A. Cement Account (Bags)</t>
  </si>
  <si>
    <t>Delivered (Site A, Week 7)</t>
  </si>
  <si>
    <t>450 Bags</t>
  </si>
  <si>
    <t>Delivered (Site B, Week 10)</t>
  </si>
  <si>
    <t>500 Bags</t>
  </si>
  <si>
    <t>Total Delivered</t>
  </si>
  <si>
    <t>Used In Construction</t>
  </si>
  <si>
    <t>909.0 Bags (Includes Reconciliation Adjustment Of 10.5 Bags)</t>
  </si>
  <si>
    <t>Reported Missing / Stolen</t>
  </si>
  <si>
    <t>36 Bags (Site A: 34, Site B: 2)</t>
  </si>
  <si>
    <t>Spillage (Damaged)</t>
  </si>
  <si>
    <t>Remaining At Store Close</t>
  </si>
  <si>
    <t>Reconciliation Check</t>
  </si>
  <si>
    <t>Delivered: 950 = Used + Missing + Spill + Remaining: 909 + 36 + 1 + 4 = 950 ✓ Balanced</t>
  </si>
  <si>
    <t>B. Cement Usage Efficiency</t>
  </si>
  <si>
    <t>Base Casting Total</t>
  </si>
  <si>
    <t>1,012.5 M</t>
  </si>
  <si>
    <t>Wall Casting Total</t>
  </si>
  <si>
    <t>1,021.5 M</t>
  </si>
  <si>
    <t>Average Cement Use Per Casting Day</t>
  </si>
  <si>
    <t>~20–27 Bags/Day</t>
  </si>
  <si>
    <t>Largest Single Day</t>
  </si>
  <si>
    <t>44 Bags (Week 9, Site A – Wall Casting)</t>
  </si>
  <si>
    <t>Smallest Day</t>
  </si>
  <si>
    <t>1.5 Bags (Week 15, Curing)</t>
  </si>
  <si>
    <t>C. Water Supply</t>
  </si>
  <si>
    <t>Total Trips Delivered</t>
  </si>
  <si>
    <t>514 Trips</t>
  </si>
  <si>
    <t>Total Water Cost</t>
  </si>
  <si>
    <t>514,000 Ngn (@ 1,000 Ngn/Trip)</t>
  </si>
  <si>
    <t>Peak Week</t>
  </si>
  <si>
    <t>Week 10 – 119 Trips (Base Casting Surge At Site B)</t>
  </si>
  <si>
    <t>Typical Casting Day</t>
  </si>
  <si>
    <t>9–22 Trips Depending On Volume Poured</t>
  </si>
  <si>
    <t>D. Aggregate Materials (Trips)</t>
  </si>
  <si>
    <t>34 Trips (Fine Aggregate)</t>
  </si>
  <si>
    <t>8 Trips (Coarse Aggregate)</t>
  </si>
  <si>
    <t>9 Trips (Road Sub-Base, Site B)</t>
  </si>
  <si>
    <t>67 Trips (Road Embankment, Road Section)</t>
  </si>
  <si>
    <t>Weekly Breakdown</t>
  </si>
  <si>
    <t>Week 15 – 38 Trips, Week 16 – 25 Trips, Week 17 – 4 Trips</t>
  </si>
  <si>
    <t>E. Reinforcement Steel (Rebar)</t>
  </si>
  <si>
    <t>Delivered (Week 6, Site A)</t>
  </si>
  <si>
    <t>Y8 (8mm Dia.)</t>
  </si>
  <si>
    <t>840 Pcs</t>
  </si>
  <si>
    <t>Y10 (10mm Dia.)</t>
  </si>
  <si>
    <t>402 Pcs</t>
  </si>
  <si>
    <t>Y16 (16mm Dia.)</t>
  </si>
  <si>
    <t>54 Pcs</t>
  </si>
  <si>
    <t>Remaining At Close (Week 18, Main Store)</t>
  </si>
  <si>
    <t>Y8</t>
  </si>
  <si>
    <t>92 Pcs → Used: 748 Pcs</t>
  </si>
  <si>
    <t>Y10</t>
  </si>
  <si>
    <t>25 Pcs → Used: 377 Pcs</t>
  </si>
  <si>
    <t>Y16</t>
  </si>
  <si>
    <t>2 Pcs → Used: 52 Pcs</t>
  </si>
  <si>
    <t>Reinforcement Baskets Fabricated</t>
  </si>
  <si>
    <t>86 Nos</t>
  </si>
  <si>
    <t>Peak Fabrication</t>
  </si>
  <si>
    <t>Week 7–8 (Used In Base Casting At Site A)</t>
  </si>
  <si>
    <t>F. Equipment</t>
  </si>
  <si>
    <t>Total Hours</t>
  </si>
  <si>
    <t>Operating Days</t>
  </si>
  <si>
    <t>40 Casting Days Logged</t>
  </si>
  <si>
    <t>Average Per Day</t>
  </si>
  <si>
    <t>5.9 Hours/Day</t>
  </si>
  <si>
    <t>Typical Range</t>
  </si>
  <si>
    <t>3 – 7 Hours/Day</t>
  </si>
  <si>
    <t>4.0 Hours/Day</t>
  </si>
  <si>
    <t>2 – 5 Hours/Day</t>
  </si>
  <si>
    <t>Mixer-To-Vibrator Ratio</t>
  </si>
  <si>
    <t>1.46 : 1 (Mixer Runs ~46% Longer Per Session)</t>
  </si>
  <si>
    <t>Material &amp; Equipment Summary</t>
  </si>
  <si>
    <t>Concrete Mixer :</t>
  </si>
  <si>
    <t>Concrete Vibrator :</t>
  </si>
  <si>
    <t>A. Total Cost Breakdown</t>
  </si>
  <si>
    <t>Cost Component</t>
  </si>
  <si>
    <t>Amount (Ngn)</t>
  </si>
  <si>
    <t>% Of Total</t>
  </si>
  <si>
    <t>Excavation Cost</t>
  </si>
  <si>
    <t>Wall Casting Cost</t>
  </si>
  <si>
    <t>Water Supply Cost</t>
  </si>
  <si>
    <t>Base Casting Cost</t>
  </si>
  <si>
    <t>B. Cost By Location</t>
  </si>
  <si>
    <t>Labour</t>
  </si>
  <si>
    <t>Base Cast</t>
  </si>
  <si>
    <t>Wall Cast</t>
  </si>
  <si>
    <t>Water</t>
  </si>
  <si>
    <t>C. Cost By Week</t>
  </si>
  <si>
    <t>Weekly Total</t>
  </si>
  <si>
    <t>D. Unit Rates Applied</t>
  </si>
  <si>
    <t>Rate</t>
  </si>
  <si>
    <t>Excavation – Site A (Weeks 5–9)</t>
  </si>
  <si>
    <t>Excavation – Site B (Weeks 10–18)</t>
  </si>
  <si>
    <t>Base Casting (All Locations)</t>
  </si>
  <si>
    <t>Wall Casting (All Locations)</t>
  </si>
  <si>
    <t>Cost Summary</t>
  </si>
  <si>
    <t>Total Excavation (New + Repair)</t>
  </si>
  <si>
    <t>Total Base Casting</t>
  </si>
  <si>
    <t>Total Wall Casting</t>
  </si>
  <si>
    <t>Peak Base Casting (Single Day)</t>
  </si>
  <si>
    <t>Peak Wall Casting (Single Day)</t>
  </si>
  <si>
    <t>Average Base Casting Per Day</t>
  </si>
  <si>
    <t>Average Wall Casting Per Day</t>
  </si>
  <si>
    <t>Reinforcement Baskets Produced</t>
  </si>
  <si>
    <t>Cement Loss Rate</t>
  </si>
  <si>
    <t>Average Cement Per Casting Day</t>
  </si>
  <si>
    <t>Water Trips Per Casting Day</t>
  </si>
  <si>
    <t>Mixer Operating Days</t>
  </si>
  <si>
    <t>40 Days</t>
  </si>
  <si>
    <t>Vibrator Operating Days</t>
  </si>
  <si>
    <t>Average Mixer Hours Per Day</t>
  </si>
  <si>
    <t>Average Vibrator Hours Per Day</t>
  </si>
  <si>
    <t>Total Project Cost</t>
  </si>
  <si>
    <t>₦4,487,370</t>
  </si>
  <si>
    <t>Cost Per Metre Excavated</t>
  </si>
  <si>
    <t>Average Weekly Expenditure</t>
  </si>
  <si>
    <t>Labour Payment Records</t>
  </si>
  <si>
    <t>61 Entries</t>
  </si>
  <si>
    <t>Total Labour Paid</t>
  </si>
  <si>
    <t>₦744,500</t>
  </si>
  <si>
    <t>Average Labour Per Payment</t>
  </si>
  <si>
    <t>₦12,205</t>
  </si>
  <si>
    <t>Road Works Phase</t>
  </si>
  <si>
    <t>KPI</t>
  </si>
  <si>
    <t>Result</t>
  </si>
  <si>
    <t>1,948.3 m</t>
  </si>
  <si>
    <t>Site A Excavation</t>
  </si>
  <si>
    <t>1,166.3 m</t>
  </si>
  <si>
    <t>Site B Excavation</t>
  </si>
  <si>
    <t>782.0 m</t>
  </si>
  <si>
    <t>1,012.5 m</t>
  </si>
  <si>
    <t>1,021.5 m</t>
  </si>
  <si>
    <t>Total Concrete Casting</t>
  </si>
  <si>
    <t>2,034.0 m</t>
  </si>
  <si>
    <t>120.0 m (6 March 2026, Site B)</t>
  </si>
  <si>
    <t>80.0 m (28 February 2026, Site A)</t>
  </si>
  <si>
    <t>25.3 m/day</t>
  </si>
  <si>
    <t>25.5 m/day</t>
  </si>
  <si>
    <t>Cement Delivery vs Usage</t>
  </si>
  <si>
    <t>95.7% (909 of 950 Bags Used)</t>
  </si>
  <si>
    <t>3.9% (37 of 950 Bags)</t>
  </si>
  <si>
    <t>Cement Remaining at Close-Out</t>
  </si>
  <si>
    <t>0.4% (4 of 950 Bags)</t>
  </si>
  <si>
    <t>22.7 Bags/Day</t>
  </si>
  <si>
    <t>12.9 Trips/Day</t>
  </si>
  <si>
    <t>Sharp Sand Delivered</t>
  </si>
  <si>
    <t>Granite Delivered</t>
  </si>
  <si>
    <t>Laterite Fill Delivered</t>
  </si>
  <si>
    <t>Stone Base Delivered</t>
  </si>
  <si>
    <t>Mixer-to-Vibrator Ratio</t>
  </si>
  <si>
    <t>1.46 : 1</t>
  </si>
  <si>
    <t>₦1,701,120</t>
  </si>
  <si>
    <t>₦506,250</t>
  </si>
  <si>
    <t>₦1,021,500</t>
  </si>
  <si>
    <t>₦514,000</t>
  </si>
  <si>
    <t>₦873/m</t>
  </si>
  <si>
    <t>Base Casting Unit Cost</t>
  </si>
  <si>
    <t>₦500/m</t>
  </si>
  <si>
    <t>Wall Casting Unit Cost</t>
  </si>
  <si>
    <t>₦1,000/m</t>
  </si>
  <si>
    <t>Labour as % of Total Cost</t>
  </si>
  <si>
    <t>Excavation as % of Total Cost</t>
  </si>
  <si>
    <t>Casting as % of Total Cost</t>
  </si>
  <si>
    <t>Water Supply as % of Total Cost</t>
  </si>
  <si>
    <t>Site A Cost</t>
  </si>
  <si>
    <t>₦2,172,520 (48.4%)</t>
  </si>
  <si>
    <t>Site B Cost</t>
  </si>
  <si>
    <t>₦2,274,850 (50.7%)</t>
  </si>
  <si>
    <t>Road Section Cost</t>
  </si>
  <si>
    <t>₦40,000 (0.9%)</t>
  </si>
  <si>
    <t>₦320,527</t>
  </si>
  <si>
    <t>Peak Week Expenditure</t>
  </si>
  <si>
    <t>₦809,720 (Week 5)</t>
  </si>
  <si>
    <t>Lowest Week Expenditure</t>
  </si>
  <si>
    <t>₦3,000 (Week 18)</t>
  </si>
  <si>
    <t>Highest Daily Labour Payment</t>
  </si>
  <si>
    <t>₦20,000</t>
  </si>
  <si>
    <t>Lowest Daily Labour Payment</t>
  </si>
  <si>
    <t>₦2,000</t>
  </si>
  <si>
    <t>Typical Casting-Day Labour Cost</t>
  </si>
  <si>
    <t>₦14,000–₦18,000</t>
  </si>
  <si>
    <t>Y8 Utilisation Rate</t>
  </si>
  <si>
    <t>89.0% (748 of 840 Used)</t>
  </si>
  <si>
    <t>Y10 Utilisation Rate</t>
  </si>
  <si>
    <t>93.8% (377 of 402 Used)</t>
  </si>
  <si>
    <t>Y16 Utilisation Rate</t>
  </si>
  <si>
    <t>96.3% (52 of 54 Used)</t>
  </si>
  <si>
    <t>Cement Utilisation Rate</t>
  </si>
  <si>
    <t>95.7% (909 of 950 Used)</t>
  </si>
  <si>
    <t>3.9% (37 of 950)</t>
  </si>
  <si>
    <t>Inventory Accuracy at Close-Out</t>
  </si>
  <si>
    <t>Fully Balanced</t>
  </si>
  <si>
    <t>950 = 909 + 36 + 1 + 4</t>
  </si>
  <si>
    <t>Project Start Date</t>
  </si>
  <si>
    <t>Project Close-Out Date</t>
  </si>
  <si>
    <t>Reporting Duration</t>
  </si>
  <si>
    <t>Active Construction Period</t>
  </si>
  <si>
    <t>W5 – W18</t>
  </si>
  <si>
    <t>Working Pattern</t>
  </si>
  <si>
    <t>7-Day Work Schedule</t>
  </si>
  <si>
    <t>Weeks 15–17</t>
  </si>
  <si>
    <t>Project Status</t>
  </si>
  <si>
    <t>Key Performance Indicators (KPIs)</t>
  </si>
  <si>
    <t>This section estimates current market replacement cost for materials used in the project.</t>
  </si>
  <si>
    <t>Unit rates are based on average Nigerian market prices (2025-2026).</t>
  </si>
  <si>
    <t>Unit Rate (Ngn)</t>
  </si>
  <si>
    <t>Estimated Cost (Ngn)</t>
  </si>
  <si>
    <t>Cement</t>
  </si>
  <si>
    <t>Bags</t>
  </si>
  <si>
    <t>Y8 Rebar (8mm)</t>
  </si>
  <si>
    <t>Pcs</t>
  </si>
  <si>
    <t>Y10 Rebar (10mm)</t>
  </si>
  <si>
    <t>Y16 Rebar (16mm)</t>
  </si>
  <si>
    <t>Trips</t>
  </si>
  <si>
    <t>Granite (Coarse Agg.)</t>
  </si>
  <si>
    <t>Total Estimated Material Cost</t>
  </si>
  <si>
    <t>Material Cost Estimate</t>
  </si>
  <si>
    <t>On 26 February 2026 (Week 9), a store count revealed 34 bags of cement missing. Later (Week 10, Site B), another 2 bags were reported stolen. Total missing/stolen = 36 bags.</t>
  </si>
  <si>
    <t>On 3 March 2026 (Week 10), the consulting engineer identified that 20.4 m of excavation at Site B had not been recorded. This could have caused payment disputes.</t>
  </si>
  <si>
    <t>Casting output dropped significantly in Week 12 (only 47.9 m wall cast) and Week 13 (101.5 m wall cast) compared to previous weeks (peak 301.8 m in Week 9).</t>
  </si>
  <si>
    <t>During portfolio preparation, a discrepancy was found: LOG007 (30 January 2026) recorded excavation at Site B, but Week 5 primary site was Site A. This was corrected in the master log to maintain consistency with site assignment.</t>
  </si>
  <si>
    <t>Cement Shortage &amp; Theft</t>
  </si>
  <si>
    <t>Immediately conducted a full inventory audit. Changed store keeper and implemented daily end-of-day counts. Added a second lock to the cement store (dual control). Reported the incident to site management; recovered part of the value from responsible personnel.</t>
  </si>
  <si>
    <t>No further losses after Week 10. Final cement reconciliation balanced exactly (delivered = used + loss + remaining).</t>
  </si>
  <si>
    <t>Engineer Reconciliation (20.4 m Excavation)</t>
  </si>
  <si>
    <t>Reviewed all daily logs and cross-checked against survey measurements. Issued a formal adjustment entry (LOG165) with the engineer’s signature. Updated the cost and quantity tracking retroactively.</t>
  </si>
  <si>
    <t>No financial or contractual dispute. All quantities now fully traceable and reconciled.</t>
  </si>
  <si>
    <t>Production Gap (Week 12–13)</t>
  </si>
  <si>
    <t>Investigated and found no material shortage – issue was labour availability. Reorganised the crew into two smaller teams to work on different sections simultaneously. Adjusted daily labour rates to incentivise output.</t>
  </si>
  <si>
    <t>Production recovered by Week 14 (110.6 m wall cast) and project completed on time.</t>
  </si>
  <si>
    <t>Data Correction (LOG007 Location)</t>
  </si>
  <si>
    <t>Verified against daily site reports and team attendance. Updated the Excel master log to reflect Site A for that entry. Documented the correction in the portfolio notes.</t>
  </si>
  <si>
    <t>All location data now aligns with week‑by‑site assignment. No impact on quantities or costs.</t>
  </si>
  <si>
    <t>Challenges &amp; Resolutions</t>
  </si>
  <si>
    <t>Project Name</t>
  </si>
  <si>
    <t>Project Location</t>
  </si>
  <si>
    <t>Borno State, Nigeria</t>
  </si>
  <si>
    <t>Active Period</t>
  </si>
  <si>
    <t>Approximately 14 Weeks</t>
  </si>
  <si>
    <t>Project Sites</t>
  </si>
  <si>
    <t>Total Project Length</t>
  </si>
  <si>
    <t>Approximately 500 m Drainage Corridor</t>
  </si>
  <si>
    <t>Total Verified Log Records</t>
  </si>
  <si>
    <t>348 Records</t>
  </si>
  <si>
    <t>Site Role</t>
  </si>
  <si>
    <t>Workflow</t>
  </si>
  <si>
    <t>Primary Functions</t>
  </si>
  <si>
    <t>Project Description</t>
  </si>
  <si>
    <t>This project involved the construction of reinforced concrete road drainage systems across two construction sections identified as Site A and Site B. The work included excavation, drainage repairs, reinforcement fabrication, concrete base casting, wall casting, water supply operations, material management, equipment utilisation tracking, labour monitoring, cost tracking, inventory reconciliation, and project reporting.</t>
  </si>
  <si>
    <t>My Responsibilities</t>
  </si>
  <si>
    <t>Communication Method</t>
  </si>
  <si>
    <t>Excavation (New)</t>
  </si>
  <si>
    <t>1,012.3 m</t>
  </si>
  <si>
    <t>936.0 m</t>
  </si>
  <si>
    <t>Total Excavation Works</t>
  </si>
  <si>
    <t>Cement Missing/Stolen</t>
  </si>
  <si>
    <t>Cost Distribution - Site A</t>
  </si>
  <si>
    <t>Cost Distribution - Site B</t>
  </si>
  <si>
    <t>Cost Distribution - Road Section</t>
  </si>
  <si>
    <t>950 Delivered = 909 Used + 36 Missing/Stolen + 1 Spillage + 4 Remaining → Fully Balanced</t>
  </si>
  <si>
    <t>Reinforcement Reconciliation - Y8</t>
  </si>
  <si>
    <t>840 Delivered → 748 Used → 92 Remaining</t>
  </si>
  <si>
    <t>Reinforcement Reconciliation - Y10</t>
  </si>
  <si>
    <t>402 Delivered → 377 Used → 25 Remaining</t>
  </si>
  <si>
    <t>Reinforcement Reconciliation - Y16</t>
  </si>
  <si>
    <t>54 Delivered → 52 Used → 2 Remaining</t>
  </si>
  <si>
    <t>Data Verification</t>
  </si>
  <si>
    <t>Title</t>
  </si>
  <si>
    <t>Prepared By</t>
  </si>
  <si>
    <t>Project Type: Road Drainage Construction Project</t>
  </si>
  <si>
    <t>Project Duration: 27 January 2026 – 30 April 2026</t>
  </si>
  <si>
    <t>Active Duration: 14 Weeks</t>
  </si>
  <si>
    <t>Physical Project Length: 500 Metres</t>
  </si>
  <si>
    <t>Site</t>
  </si>
  <si>
    <t>ID</t>
  </si>
  <si>
    <t>Challenge</t>
  </si>
  <si>
    <t>Issue Description</t>
  </si>
  <si>
    <t>Corrective Taken</t>
  </si>
  <si>
    <t>Outcome</t>
  </si>
  <si>
    <t>BUSINESS INTELLIGENCE NOTE</t>
  </si>
  <si>
    <t>Interactive dashboards were developed in Power BI rather than Excel to
demonstrate modern business intelligence reporting, KPI monitoring,
and construction performance analytics.</t>
  </si>
  <si>
    <t>This portfolio focuses on data collection, reporting, reconciliation,
KPI development, and analytical preparation within Excel, while
interactive dashboard visualisations are presented separately in Power BI.</t>
  </si>
  <si>
    <t>Grand Total</t>
  </si>
  <si>
    <t>1 – Activity Volume by Week</t>
  </si>
  <si>
    <t>(Multiple Items)</t>
  </si>
  <si>
    <t>2 – Cost Breakdown by Category</t>
  </si>
  <si>
    <t>3 – Cost by Location</t>
  </si>
  <si>
    <t>4 – Cement &amp; Material Usage</t>
  </si>
  <si>
    <t>5 – Equipment Utilisation by Week</t>
  </si>
  <si>
    <t>Metres</t>
  </si>
  <si>
    <t>PIVOT ANALYSIS – CONSTRUCTION OPERATIONS</t>
  </si>
  <si>
    <t>Based on 348 verified records from Master Log (Weeks 5-18)</t>
  </si>
  <si>
    <t>Mixer</t>
  </si>
  <si>
    <t>Total Mixer</t>
  </si>
  <si>
    <t>Vibrator</t>
  </si>
  <si>
    <t>Total Vibrator</t>
  </si>
  <si>
    <t>Metric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</si>
</sst>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0.0"/>
  </numFmts>
  <fonts count="11" x14ac:knownFonts="1">
    <font>
      <sz val="11"/>
      <color theme="1"/>
      <name val="Calibri"/>
      <family val="2"/>
      <scheme val="minor"/>
    </font>
    <font>
      <b/>
      <sz val="16"/>
      <color theme="0"/>
      <name val="Calibri"/>
      <family val="2"/>
      <scheme val="minor"/>
    </font>
    <font>
      <sz val="10"/>
      <color theme="1"/>
      <name val="Calibri"/>
      <family val="2"/>
      <scheme val="minor"/>
    </font>
    <font>
      <i/>
      <sz val="10"/>
      <color theme="1"/>
      <name val="Calibri"/>
      <family val="2"/>
      <scheme val="minor"/>
    </font>
    <font>
      <sz val="12"/>
      <color theme="0"/>
      <name val="Calibri"/>
      <family val="2"/>
      <scheme val="minor"/>
    </font>
    <font>
      <b/>
      <sz val="10"/>
      <color theme="1"/>
      <name val="Calibri"/>
      <family val="2"/>
      <scheme val="minor"/>
    </font>
    <font>
      <b/>
      <sz val="16"/>
      <color rgb="FFFFFFFF"/>
      <name val="Calibri"/>
      <family val="2"/>
    </font>
    <font>
      <b/>
      <sz val="16"/>
      <color theme="1"/>
      <name val="Calibri"/>
      <family val="2"/>
      <scheme val="minor"/>
    </font>
    <font>
      <b/>
      <i/>
      <sz val="10"/>
      <color theme="1"/>
      <name val="Calibri"/>
      <family val="2"/>
      <scheme val="minor"/>
    </font>
    <font>
      <b/>
      <sz val="14"/>
      <color theme="1"/>
      <name val="Calibri"/>
      <family val="2"/>
      <scheme val="minor"/>
    </font>
    <font>
      <b/>
      <sz val="14"/>
      <color rgb="FF0F1115"/>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4"/>
        <bgColor indexed="64"/>
      </patternFill>
    </fill>
    <fill>
      <patternFill patternType="solid">
        <fgColor theme="0"/>
        <bgColor indexed="64"/>
      </patternFill>
    </fill>
    <fill>
      <patternFill patternType="solid">
        <fgColor rgb="FF1F4E79"/>
      </patternFill>
    </fill>
    <fill>
      <patternFill patternType="solid">
        <fgColor theme="4" tint="-0.499984740745262"/>
        <bgColor indexed="64"/>
      </patternFill>
    </fill>
  </fills>
  <borders count="14">
    <border>
      <left/>
      <right/>
      <top/>
      <bottom/>
      <diagonal/>
    </border>
    <border>
      <left style="thin">
        <color theme="6"/>
      </left>
      <right style="thin">
        <color theme="6"/>
      </right>
      <top style="thin">
        <color theme="6"/>
      </top>
      <bottom style="thin">
        <color theme="6"/>
      </bottom>
      <diagonal/>
    </border>
    <border>
      <left style="thin">
        <color theme="6"/>
      </left>
      <right style="thin">
        <color theme="6"/>
      </right>
      <top/>
      <bottom style="medium">
        <color theme="6"/>
      </bottom>
      <diagonal/>
    </border>
    <border>
      <left style="thin">
        <color theme="6"/>
      </left>
      <right/>
      <top style="thin">
        <color theme="6"/>
      </top>
      <bottom style="medium">
        <color theme="6"/>
      </bottom>
      <diagonal/>
    </border>
    <border>
      <left/>
      <right/>
      <top style="thin">
        <color theme="6"/>
      </top>
      <bottom style="medium">
        <color theme="6"/>
      </bottom>
      <diagonal/>
    </border>
    <border>
      <left style="thin">
        <color theme="6"/>
      </left>
      <right/>
      <top style="thin">
        <color theme="6"/>
      </top>
      <bottom style="thin">
        <color theme="6"/>
      </bottom>
      <diagonal/>
    </border>
    <border>
      <left/>
      <right style="thin">
        <color theme="6"/>
      </right>
      <top style="thin">
        <color theme="6"/>
      </top>
      <bottom style="thin">
        <color theme="6"/>
      </bottom>
      <diagonal/>
    </border>
    <border>
      <left/>
      <right/>
      <top/>
      <bottom style="medium">
        <color theme="6"/>
      </bottom>
      <diagonal/>
    </border>
    <border>
      <left/>
      <right/>
      <top style="medium">
        <color theme="6"/>
      </top>
      <bottom/>
      <diagonal/>
    </border>
    <border>
      <left style="thin">
        <color theme="6"/>
      </left>
      <right/>
      <top/>
      <bottom/>
      <diagonal/>
    </border>
    <border>
      <left style="thin">
        <color rgb="FFCDCFC5"/>
      </left>
      <right style="thin">
        <color rgb="FFCDCFC5"/>
      </right>
      <top style="thin">
        <color rgb="FFCDCFC5"/>
      </top>
      <bottom style="thin">
        <color rgb="FFCDCFC5"/>
      </bottom>
      <diagonal/>
    </border>
    <border>
      <left style="medium">
        <color rgb="FF1F4E79"/>
      </left>
      <right/>
      <top/>
      <bottom/>
      <diagonal/>
    </border>
    <border>
      <left style="medium">
        <color rgb="FF1F4E79"/>
      </left>
      <right/>
      <top/>
      <bottom style="medium">
        <color theme="6"/>
      </bottom>
      <diagonal/>
    </border>
    <border>
      <left/>
      <right style="thin">
        <color theme="6"/>
      </right>
      <top style="thin">
        <color theme="6"/>
      </top>
      <bottom style="medium">
        <color theme="6"/>
      </bottom>
      <diagonal/>
    </border>
  </borders>
  <cellStyleXfs count="1">
    <xf numFmtId="0" fontId="0" fillId="0" borderId="0"/>
  </cellStyleXfs>
  <cellXfs count="69">
    <xf numFmtId="0" fontId="0" fillId="0" borderId="0" xfId="0"/>
    <xf numFmtId="14" fontId="0" fillId="0" borderId="0" xfId="0" applyNumberFormat="1"/>
    <xf numFmtId="17" fontId="0" fillId="0" borderId="0" xfId="0" applyNumberFormat="1"/>
    <xf numFmtId="0" fontId="4" fillId="3" borderId="1" xfId="0" applyFont="1" applyFill="1" applyBorder="1" applyAlignment="1">
      <alignment vertical="center" wrapText="1"/>
    </xf>
    <xf numFmtId="0" fontId="2" fillId="0" borderId="0" xfId="0" applyFont="1"/>
    <xf numFmtId="0" fontId="2" fillId="0" borderId="0" xfId="0" applyFont="1" applyAlignment="1">
      <alignment vertical="center" wrapText="1"/>
    </xf>
    <xf numFmtId="0" fontId="2" fillId="0" borderId="0" xfId="0" applyFont="1" applyAlignment="1">
      <alignment vertical="center"/>
    </xf>
    <xf numFmtId="0" fontId="5" fillId="0" borderId="0" xfId="0" applyFont="1"/>
    <xf numFmtId="0" fontId="3" fillId="2" borderId="0" xfId="0" applyFont="1" applyFill="1" applyAlignment="1">
      <alignment vertical="center" wrapText="1"/>
    </xf>
    <xf numFmtId="0" fontId="2" fillId="0" borderId="0" xfId="0" applyFont="1" applyAlignment="1">
      <alignment horizontal="left" vertical="center"/>
    </xf>
    <xf numFmtId="0" fontId="2" fillId="0" borderId="0" xfId="0" applyFont="1" applyAlignment="1">
      <alignment vertical="center"/>
    </xf>
    <xf numFmtId="0" fontId="5" fillId="0" borderId="0" xfId="0" applyFont="1" applyAlignment="1">
      <alignment vertical="center"/>
    </xf>
    <xf numFmtId="0" fontId="5" fillId="0" borderId="0" xfId="0" applyFont="1" applyAlignment="1">
      <alignment horizontal="center" vertical="center"/>
    </xf>
    <xf numFmtId="0" fontId="5" fillId="0" borderId="0" xfId="0" applyFont="1" applyAlignment="1">
      <alignment horizontal="left" vertical="center"/>
    </xf>
    <xf numFmtId="15" fontId="2" fillId="0" borderId="0" xfId="0" applyNumberFormat="1" applyFont="1" applyAlignment="1">
      <alignment horizontal="left" vertical="center"/>
    </xf>
    <xf numFmtId="0" fontId="4" fillId="3" borderId="6" xfId="0" applyFont="1" applyFill="1" applyBorder="1" applyAlignment="1">
      <alignment vertical="center" wrapText="1"/>
    </xf>
    <xf numFmtId="0" fontId="2" fillId="0" borderId="0" xfId="0" applyFont="1" applyAlignment="1">
      <alignment horizontal="center" vertical="center"/>
    </xf>
    <xf numFmtId="0" fontId="2" fillId="0" borderId="0" xfId="0" applyFont="1" applyAlignment="1">
      <alignment horizontal="left" vertical="center" wrapText="1"/>
    </xf>
    <xf numFmtId="0" fontId="0" fillId="0" borderId="0" xfId="0" applyAlignment="1">
      <alignment vertical="center"/>
    </xf>
    <xf numFmtId="3" fontId="2" fillId="0" borderId="0" xfId="0" applyNumberFormat="1" applyFont="1" applyAlignment="1">
      <alignment vertical="center"/>
    </xf>
    <xf numFmtId="10" fontId="2" fillId="0" borderId="0" xfId="0" applyNumberFormat="1" applyFont="1" applyAlignment="1">
      <alignment vertical="center"/>
    </xf>
    <xf numFmtId="3" fontId="5" fillId="0" borderId="0" xfId="0" applyNumberFormat="1" applyFont="1" applyAlignment="1">
      <alignment vertical="center"/>
    </xf>
    <xf numFmtId="10" fontId="5" fillId="0" borderId="0" xfId="0" applyNumberFormat="1" applyFont="1" applyAlignment="1">
      <alignment vertical="center"/>
    </xf>
    <xf numFmtId="0" fontId="2" fillId="0" borderId="8" xfId="0" applyFont="1" applyBorder="1" applyAlignment="1">
      <alignment vertical="center" wrapText="1"/>
    </xf>
    <xf numFmtId="0" fontId="0" fillId="0" borderId="8" xfId="0" applyBorder="1"/>
    <xf numFmtId="0" fontId="2" fillId="0" borderId="8" xfId="0" applyFont="1" applyBorder="1" applyAlignment="1">
      <alignment vertical="center"/>
    </xf>
    <xf numFmtId="10" fontId="2" fillId="0" borderId="0" xfId="0" applyNumberFormat="1" applyFont="1" applyAlignment="1">
      <alignment horizontal="center" vertical="center"/>
    </xf>
    <xf numFmtId="15" fontId="2" fillId="0" borderId="0" xfId="0" applyNumberFormat="1" applyFont="1" applyAlignment="1">
      <alignment horizontal="center" vertical="center"/>
    </xf>
    <xf numFmtId="14" fontId="2" fillId="0" borderId="0" xfId="0" applyNumberFormat="1" applyFont="1" applyAlignment="1">
      <alignment horizontal="center" vertical="center"/>
    </xf>
    <xf numFmtId="17" fontId="2" fillId="0" borderId="0" xfId="0" applyNumberFormat="1" applyFont="1" applyAlignment="1">
      <alignment horizontal="center" vertical="center"/>
    </xf>
    <xf numFmtId="0" fontId="2" fillId="0" borderId="0" xfId="0" applyNumberFormat="1" applyFont="1" applyAlignment="1">
      <alignment horizontal="center" vertical="center"/>
    </xf>
    <xf numFmtId="0" fontId="0" fillId="4" borderId="0" xfId="0" applyFill="1"/>
    <xf numFmtId="0" fontId="2" fillId="4" borderId="0" xfId="0" applyFont="1" applyFill="1"/>
    <xf numFmtId="0" fontId="2" fillId="0" borderId="0" xfId="0" applyFont="1" applyAlignment="1">
      <alignment horizontal="center" vertical="center"/>
    </xf>
    <xf numFmtId="0" fontId="0" fillId="4" borderId="10" xfId="0" applyFill="1" applyBorder="1"/>
    <xf numFmtId="0" fontId="1" fillId="6" borderId="2" xfId="0" applyFont="1" applyFill="1" applyBorder="1" applyAlignment="1">
      <alignment horizontal="center" vertical="center" wrapText="1"/>
    </xf>
    <xf numFmtId="0" fontId="2" fillId="4" borderId="10" xfId="0" applyFont="1" applyFill="1" applyBorder="1" applyAlignment="1">
      <alignment vertical="center"/>
    </xf>
    <xf numFmtId="0" fontId="5" fillId="4" borderId="10" xfId="0" applyFont="1" applyFill="1" applyBorder="1" applyAlignment="1">
      <alignment horizontal="left" vertical="center"/>
    </xf>
    <xf numFmtId="0" fontId="2" fillId="4" borderId="10" xfId="0" applyFont="1" applyFill="1" applyBorder="1"/>
    <xf numFmtId="0" fontId="0" fillId="0" borderId="0" xfId="0" applyAlignment="1">
      <alignment horizontal="center" vertical="center"/>
    </xf>
    <xf numFmtId="0" fontId="0" fillId="0" borderId="0" xfId="0" applyAlignment="1">
      <alignment horizontal="left" vertical="center"/>
    </xf>
    <xf numFmtId="0" fontId="7"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horizontal="center"/>
    </xf>
    <xf numFmtId="0" fontId="8" fillId="0" borderId="0" xfId="0" applyFont="1" applyAlignment="1">
      <alignment horizontal="center" vertical="center"/>
    </xf>
    <xf numFmtId="0" fontId="5" fillId="0" borderId="9" xfId="0" applyFont="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vertical="center" wrapText="1"/>
    </xf>
    <xf numFmtId="0" fontId="1" fillId="6" borderId="3"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1" fillId="6" borderId="13" xfId="0" applyFont="1" applyFill="1" applyBorder="1" applyAlignment="1">
      <alignment horizontal="center" vertical="center" wrapText="1"/>
    </xf>
    <xf numFmtId="0" fontId="6" fillId="5" borderId="12" xfId="0" applyFont="1" applyFill="1" applyBorder="1" applyAlignment="1">
      <alignment horizontal="center" vertical="center"/>
    </xf>
    <xf numFmtId="0" fontId="6" fillId="5" borderId="7" xfId="0" applyFont="1" applyFill="1" applyBorder="1" applyAlignment="1">
      <alignment horizontal="center" vertical="center"/>
    </xf>
    <xf numFmtId="0" fontId="4" fillId="3" borderId="5" xfId="0" applyFont="1" applyFill="1" applyBorder="1" applyAlignment="1">
      <alignment vertical="center" wrapText="1"/>
    </xf>
    <xf numFmtId="0" fontId="4" fillId="3" borderId="6" xfId="0" applyFont="1" applyFill="1" applyBorder="1" applyAlignment="1">
      <alignment vertical="center" wrapText="1"/>
    </xf>
    <xf numFmtId="0" fontId="2" fillId="0" borderId="0" xfId="0" applyFont="1" applyAlignment="1">
      <alignment vertical="center"/>
    </xf>
    <xf numFmtId="0" fontId="6" fillId="5" borderId="11" xfId="0" applyFont="1" applyFill="1" applyBorder="1" applyAlignment="1">
      <alignment horizontal="center" vertical="center"/>
    </xf>
    <xf numFmtId="0" fontId="6" fillId="5" borderId="0" xfId="0" applyFont="1" applyFill="1" applyBorder="1" applyAlignment="1">
      <alignment horizontal="center" vertical="center"/>
    </xf>
    <xf numFmtId="0" fontId="2" fillId="0" borderId="0" xfId="0" applyFont="1" applyAlignment="1">
      <alignment horizontal="center" vertical="center"/>
    </xf>
    <xf numFmtId="0" fontId="9" fillId="0" borderId="0" xfId="0" applyFont="1"/>
    <xf numFmtId="1" fontId="0" fillId="0" borderId="0" xfId="0" applyNumberFormat="1"/>
    <xf numFmtId="0" fontId="10" fillId="0" borderId="0" xfId="0" applyFont="1"/>
    <xf numFmtId="0" fontId="0" fillId="0" borderId="0" xfId="0" pivotButton="1" applyAlignment="1">
      <alignment horizontal="center"/>
    </xf>
    <xf numFmtId="0" fontId="0" fillId="0" borderId="0" xfId="0" applyAlignment="1">
      <alignment horizontal="center"/>
    </xf>
    <xf numFmtId="0" fontId="0" fillId="0" borderId="0" xfId="0" pivotButton="1" applyAlignment="1">
      <alignment horizontal="left"/>
    </xf>
    <xf numFmtId="165" fontId="0" fillId="0" borderId="0" xfId="0" applyNumberFormat="1" applyAlignment="1">
      <alignment horizontal="center"/>
    </xf>
    <xf numFmtId="1" fontId="0" fillId="0" borderId="0" xfId="0" applyNumberFormat="1" applyAlignment="1">
      <alignment horizontal="center"/>
    </xf>
    <xf numFmtId="0" fontId="3" fillId="0" borderId="0" xfId="0" applyFont="1" applyAlignment="1">
      <alignment horizontal="center" vertical="center"/>
    </xf>
  </cellXfs>
  <cellStyles count="1">
    <cellStyle name="Normal" xfId="0" builtinId="0"/>
  </cellStyles>
  <dxfs count="86">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65" formatCode="0.0"/>
    </dxf>
    <dxf>
      <numFmt numFmtId="2" formatCode="0.00"/>
    </dxf>
    <dxf>
      <numFmt numFmtId="165" formatCode="0.0"/>
    </dxf>
    <dxf>
      <numFmt numFmtId="1" formatCode="0"/>
    </dxf>
    <dxf>
      <alignment horizontal="left" readingOrder="0"/>
    </dxf>
    <dxf>
      <alignment horizontal="lef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left" readingOrder="0"/>
    </dxf>
    <dxf>
      <alignment horizontal="left" readingOrder="0"/>
    </dxf>
    <dxf>
      <alignment horizontal="center" readingOrder="0"/>
    </dxf>
    <dxf>
      <alignment horizontal="center" readingOrder="0"/>
    </dxf>
    <dxf>
      <alignment vertical="bottom" readingOrder="0"/>
    </dxf>
    <dxf>
      <alignment vertical="bottom" readingOrder="0"/>
    </dxf>
    <dxf>
      <alignment vertical="bottom"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65" formatCode="0.0"/>
    </dxf>
    <dxf>
      <numFmt numFmtId="2" formatCode="0.00"/>
    </dxf>
    <dxf>
      <numFmt numFmtId="165" formatCode="0.0"/>
    </dxf>
    <dxf>
      <numFmt numFmtId="1" formatCode="0"/>
    </dxf>
    <dxf>
      <numFmt numFmtId="165" formatCode="0.0"/>
    </dxf>
    <dxf>
      <numFmt numFmtId="165" formatCode="0.0"/>
    </dxf>
    <dxf>
      <numFmt numFmtId="2" formatCode="0.00"/>
    </dxf>
    <dxf>
      <numFmt numFmtId="165" formatCode="0.0"/>
    </dxf>
    <dxf>
      <numFmt numFmtId="1" formatCode="0"/>
    </dxf>
    <dxf>
      <numFmt numFmtId="165" formatCode="0.0"/>
    </dxf>
    <dxf>
      <numFmt numFmtId="2" formatCode="0.00"/>
    </dxf>
    <dxf>
      <numFmt numFmtId="165" formatCode="0.0"/>
    </dxf>
    <dxf>
      <numFmt numFmtId="165" formatCode="0.0"/>
    </dxf>
    <dxf>
      <numFmt numFmtId="2" formatCode="0.00"/>
    </dxf>
    <dxf>
      <numFmt numFmtId="165" formatCode="0.0"/>
    </dxf>
    <dxf>
      <font>
        <strike val="0"/>
        <outline val="0"/>
        <shadow val="0"/>
        <u val="none"/>
        <vertAlign val="baseline"/>
        <sz val="10"/>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0"/>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0"/>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0"/>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0"/>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numFmt numFmtId="22" formatCode="mmm\-yy"/>
    </dxf>
    <dxf>
      <font>
        <strike val="0"/>
        <outline val="0"/>
        <shadow val="0"/>
        <u val="none"/>
        <vertAlign val="baseline"/>
        <sz val="10"/>
        <color theme="1"/>
        <name val="Calibri"/>
        <scheme val="minor"/>
      </font>
      <numFmt numFmtId="22" formatCode="mmm\-yy"/>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numFmt numFmtId="19" formatCode="m/d/yyyy"/>
    </dxf>
    <dxf>
      <font>
        <strike val="0"/>
        <outline val="0"/>
        <shadow val="0"/>
        <u val="none"/>
        <vertAlign val="baseline"/>
        <sz val="10"/>
        <color theme="1"/>
        <name val="Calibri"/>
        <scheme val="minor"/>
      </font>
      <numFmt numFmtId="19" formatCode="m/d/yyyy"/>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font>
        <strike val="0"/>
        <outline val="0"/>
        <shadow val="0"/>
        <u val="none"/>
        <vertAlign val="baseline"/>
        <sz val="10"/>
        <color theme="1"/>
        <name val="Calibri"/>
        <scheme val="minor"/>
      </font>
      <alignment horizontal="center" vertical="center" textRotation="0" wrapText="0" indent="0" justifyLastLine="0" shrinkToFit="0" readingOrder="0"/>
    </dxf>
    <dxf>
      <alignment horizontal="left" vertical="center" textRotation="0" wrapText="0" indent="0" justifyLastLine="0" shrinkToFit="0" readingOrder="0"/>
    </dxf>
    <dxf>
      <border outline="0">
        <top style="thin">
          <color theme="6"/>
        </top>
      </border>
    </dxf>
    <dxf>
      <border outline="0">
        <bottom style="medium">
          <color theme="6"/>
        </bottom>
      </border>
    </dxf>
    <dxf>
      <font>
        <b/>
        <i val="0"/>
        <strike val="0"/>
        <condense val="0"/>
        <extend val="0"/>
        <outline val="0"/>
        <shadow val="0"/>
        <u val="none"/>
        <vertAlign val="baseline"/>
        <sz val="16"/>
        <color theme="0"/>
        <name val="Calibri"/>
        <scheme val="minor"/>
      </font>
      <fill>
        <patternFill patternType="solid">
          <fgColor indexed="64"/>
          <bgColor theme="4" tint="-0.499984740745262"/>
        </patternFill>
      </fill>
      <alignment horizontal="center" vertical="center" textRotation="0" wrapText="1" indent="0" justifyLastLine="0" shrinkToFit="0" readingOrder="0"/>
    </dxf>
  </dxfs>
  <tableStyles count="0" defaultTableStyle="TableStyleMedium2" defaultPivotStyle="PivotStyleLight16"/>
  <colors>
    <mruColors>
      <color rgb="FF292B85"/>
      <color rgb="FFCDCF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87.790068287039" createdVersion="6" refreshedVersion="6" minRefreshableVersion="3" recordCount="348">
  <cacheSource type="worksheet">
    <worksheetSource name="Table1"/>
  </cacheSource>
  <cacheFields count="21">
    <cacheField name="Log_ID" numFmtId="0">
      <sharedItems/>
    </cacheField>
    <cacheField name="Date" numFmtId="14">
      <sharedItems containsSemiMixedTypes="0" containsNonDate="0" containsDate="1" containsString="0" minDate="2026-01-27T00:00:00" maxDate="2026-05-01T00:00:00"/>
    </cacheField>
    <cacheField name="Day" numFmtId="0">
      <sharedItems/>
    </cacheField>
    <cacheField name="Week" numFmtId="0">
      <sharedItems count="14">
        <s v="W5"/>
        <s v="W6"/>
        <s v="W7"/>
        <s v="W8"/>
        <s v="W9"/>
        <s v="W10"/>
        <s v="W11"/>
        <s v="W12"/>
        <s v="W13"/>
        <s v="W14"/>
        <s v="W15"/>
        <s v="W16"/>
        <s v="W17"/>
        <s v="W18"/>
      </sharedItems>
    </cacheField>
    <cacheField name="Month" numFmtId="17">
      <sharedItems containsSemiMixedTypes="0" containsNonDate="0" containsDate="1" containsString="0" minDate="2026-01-01T00:00:00" maxDate="2026-04-02T00:00:00"/>
    </cacheField>
    <cacheField name="Category" numFmtId="0">
      <sharedItems count="6">
        <s v="Work"/>
        <s v="Cost"/>
        <s v="Material"/>
        <s v="Operations"/>
        <s v="Equipment"/>
        <s v="Adjustment"/>
      </sharedItems>
    </cacheField>
    <cacheField name="Item" numFmtId="0">
      <sharedItems count="24">
        <s v="Excavation"/>
        <s v="Labour Cost"/>
        <s v="Y16 Rebar Delivered"/>
        <s v="Y10 Rebar Delivered"/>
        <s v="Y8 Rebar Delivered"/>
        <s v="Excavation Repair"/>
        <s v="Reinforcement Basket"/>
        <s v="Cement Delivered"/>
        <s v="Base Casting"/>
        <s v="Cement Used"/>
        <s v="Water Supply"/>
        <s v="Concrete Mixer"/>
        <s v="Concrete Vibrator"/>
        <s v="Wall Casting"/>
        <s v="Sharp Sand"/>
        <s v="Granite"/>
        <s v="Cement Missing"/>
        <s v="Laterite"/>
        <s v="Stone Base"/>
        <s v="Cement Spillage"/>
        <s v="Cement Remaining"/>
        <s v="Y8 Remaining"/>
        <s v="Y10 Remaining"/>
        <s v="Y16 Remaining"/>
      </sharedItems>
    </cacheField>
    <cacheField name="Quantity" numFmtId="0">
      <sharedItems containsSemiMixedTypes="0" containsString="0" containsNumber="1" minValue="0" maxValue="20000"/>
    </cacheField>
    <cacheField name="Unit" numFmtId="0">
      <sharedItems/>
    </cacheField>
    <cacheField name="Operation" numFmtId="0">
      <sharedItems/>
    </cacheField>
    <cacheField name="Location" numFmtId="0">
      <sharedItems count="4">
        <s v="Site A"/>
        <s v="Site B"/>
        <s v="Road Section"/>
        <s v="Main Store"/>
      </sharedItems>
    </cacheField>
    <cacheField name="Notes" numFmtId="0">
      <sharedItems/>
    </cacheField>
    <cacheField name="Source" numFmtId="0">
      <sharedItems/>
    </cacheField>
    <cacheField name="Labour_Cost_NGN" numFmtId="0">
      <sharedItems containsSemiMixedTypes="0" containsString="0" containsNumber="1" containsInteger="1" minValue="0" maxValue="20000"/>
    </cacheField>
    <cacheField name="Mixer_Hours" numFmtId="0">
      <sharedItems containsSemiMixedTypes="0" containsString="0" containsNumber="1" containsInteger="1" minValue="0" maxValue="7" count="6">
        <n v="0"/>
        <n v="6"/>
        <n v="7"/>
        <n v="4"/>
        <n v="5"/>
        <n v="3"/>
      </sharedItems>
    </cacheField>
    <cacheField name="Vibrator_Hours" numFmtId="0">
      <sharedItems containsSemiMixedTypes="0" containsString="0" containsNumber="1" containsInteger="1" minValue="0" maxValue="5" count="5">
        <n v="0"/>
        <n v="4"/>
        <n v="5"/>
        <n v="3"/>
        <n v="2"/>
      </sharedItems>
    </cacheField>
    <cacheField name="Excavation_Rate" numFmtId="0">
      <sharedItems containsSemiMixedTypes="0" containsString="0" containsNumber="1" containsInteger="1" minValue="0" maxValue="0"/>
    </cacheField>
    <cacheField name="Excavation_Cost_NGN" numFmtId="0">
      <sharedItems containsSemiMixedTypes="0" containsString="0" containsNumber="1" containsInteger="1" minValue="0" maxValue="169600"/>
    </cacheField>
    <cacheField name="Base_Casting_Cost_NGN" numFmtId="0">
      <sharedItems containsSemiMixedTypes="0" containsString="0" containsNumber="1" containsInteger="1" minValue="0" maxValue="60000"/>
    </cacheField>
    <cacheField name="Wall_Casting_Cost_NGN" numFmtId="0">
      <sharedItems containsSemiMixedTypes="0" containsString="0" containsNumber="1" containsInteger="1" minValue="0" maxValue="80000"/>
    </cacheField>
    <cacheField name="Water_Trip_Cost_NGN" numFmtId="0">
      <sharedItems containsSemiMixedTypes="0" containsString="0" containsNumber="1" containsInteger="1" minValue="0" maxValue="22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48">
  <r>
    <s v="LOG001"/>
    <d v="2026-01-27T00:00:00"/>
    <s v="Tuesday"/>
    <x v="0"/>
    <d v="2026-01-01T00:00:00"/>
    <x v="0"/>
    <x v="0"/>
    <n v="125"/>
    <s v="m"/>
    <s v="Completed"/>
    <x v="0"/>
    <s v="Line drain excavation"/>
    <s v="Group"/>
    <n v="0"/>
    <x v="0"/>
    <x v="0"/>
    <n v="0"/>
    <n v="100000"/>
    <n v="0"/>
    <n v="0"/>
    <n v="0"/>
  </r>
  <r>
    <s v="LOG002"/>
    <d v="2026-01-27T00:00:00"/>
    <s v="Tuesday"/>
    <x v="0"/>
    <d v="2026-01-01T00:00:00"/>
    <x v="1"/>
    <x v="1"/>
    <n v="15000"/>
    <s v="NGN"/>
    <s v="Paid"/>
    <x v="0"/>
    <s v="Labour for excavation"/>
    <s v="Group"/>
    <n v="15000"/>
    <x v="0"/>
    <x v="0"/>
    <n v="0"/>
    <n v="0"/>
    <n v="0"/>
    <n v="0"/>
    <n v="0"/>
  </r>
  <r>
    <s v="LOG003"/>
    <d v="2026-01-28T00:00:00"/>
    <s v="Wednesday"/>
    <x v="0"/>
    <d v="2026-01-01T00:00:00"/>
    <x v="0"/>
    <x v="0"/>
    <n v="163.4"/>
    <s v="m"/>
    <s v="Completed"/>
    <x v="0"/>
    <s v="Daily excavation"/>
    <s v="Group"/>
    <n v="0"/>
    <x v="0"/>
    <x v="0"/>
    <n v="0"/>
    <n v="130720"/>
    <n v="0"/>
    <n v="0"/>
    <n v="0"/>
  </r>
  <r>
    <s v="LOG004"/>
    <d v="2026-01-28T00:00:00"/>
    <s v="Wednesday"/>
    <x v="0"/>
    <d v="2026-01-01T00:00:00"/>
    <x v="1"/>
    <x v="1"/>
    <n v="18000"/>
    <s v="NGN"/>
    <s v="Paid"/>
    <x v="0"/>
    <s v="Labour for excavation"/>
    <s v="Group"/>
    <n v="18000"/>
    <x v="0"/>
    <x v="0"/>
    <n v="0"/>
    <n v="0"/>
    <n v="0"/>
    <n v="0"/>
    <n v="0"/>
  </r>
  <r>
    <s v="LOG005"/>
    <d v="2026-01-29T00:00:00"/>
    <s v="Thursday"/>
    <x v="0"/>
    <d v="2026-01-01T00:00:00"/>
    <x v="0"/>
    <x v="0"/>
    <n v="165"/>
    <s v="m"/>
    <s v="Completed"/>
    <x v="0"/>
    <s v="Daily excavation"/>
    <s v="Group"/>
    <n v="0"/>
    <x v="0"/>
    <x v="0"/>
    <n v="0"/>
    <n v="132000"/>
    <n v="0"/>
    <n v="0"/>
    <n v="0"/>
  </r>
  <r>
    <s v="LOG006"/>
    <d v="2026-01-29T00:00:00"/>
    <s v="Thursday"/>
    <x v="0"/>
    <d v="2026-01-01T00:00:00"/>
    <x v="1"/>
    <x v="1"/>
    <n v="18000"/>
    <s v="NGN"/>
    <s v="Paid"/>
    <x v="0"/>
    <s v="Labour for excavation"/>
    <s v="Group"/>
    <n v="18000"/>
    <x v="0"/>
    <x v="0"/>
    <n v="0"/>
    <n v="0"/>
    <n v="0"/>
    <n v="0"/>
    <n v="0"/>
  </r>
  <r>
    <s v="LOG007"/>
    <d v="2026-01-30T00:00:00"/>
    <s v="Friday"/>
    <x v="0"/>
    <d v="2026-01-01T00:00:00"/>
    <x v="0"/>
    <x v="0"/>
    <n v="122.4"/>
    <s v="m"/>
    <s v="Completed"/>
    <x v="1"/>
    <s v="Daily excavation"/>
    <s v="Group"/>
    <n v="0"/>
    <x v="0"/>
    <x v="0"/>
    <n v="0"/>
    <n v="122400"/>
    <n v="0"/>
    <n v="0"/>
    <n v="0"/>
  </r>
  <r>
    <s v="LOG008"/>
    <d v="2026-01-30T00:00:00"/>
    <s v="Friday"/>
    <x v="0"/>
    <d v="2026-01-01T00:00:00"/>
    <x v="1"/>
    <x v="1"/>
    <n v="14000"/>
    <s v="NGN"/>
    <s v="Paid"/>
    <x v="1"/>
    <s v="Labour for excavation"/>
    <s v="Group"/>
    <n v="14000"/>
    <x v="0"/>
    <x v="0"/>
    <n v="0"/>
    <n v="0"/>
    <n v="0"/>
    <n v="0"/>
    <n v="0"/>
  </r>
  <r>
    <s v="LOG009"/>
    <d v="2026-01-31T00:00:00"/>
    <s v="Saturday"/>
    <x v="0"/>
    <d v="2026-01-01T00:00:00"/>
    <x v="0"/>
    <x v="0"/>
    <n v="169.6"/>
    <s v="m"/>
    <s v="Completed"/>
    <x v="1"/>
    <s v="Daily excavation"/>
    <s v="Group"/>
    <n v="0"/>
    <x v="0"/>
    <x v="0"/>
    <n v="0"/>
    <n v="169600"/>
    <n v="0"/>
    <n v="0"/>
    <n v="0"/>
  </r>
  <r>
    <s v="LOG010"/>
    <d v="2026-01-31T00:00:00"/>
    <s v="Saturday"/>
    <x v="0"/>
    <d v="2026-01-01T00:00:00"/>
    <x v="1"/>
    <x v="1"/>
    <n v="18000"/>
    <s v="NGN"/>
    <s v="Paid"/>
    <x v="1"/>
    <s v="Labour for excavation"/>
    <s v="Group"/>
    <n v="18000"/>
    <x v="0"/>
    <x v="0"/>
    <n v="0"/>
    <n v="0"/>
    <n v="0"/>
    <n v="0"/>
    <n v="0"/>
  </r>
  <r>
    <s v="LOG011"/>
    <d v="2026-02-01T00:00:00"/>
    <s v="Sunday"/>
    <x v="0"/>
    <d v="2026-02-01T00:00:00"/>
    <x v="0"/>
    <x v="0"/>
    <n v="64"/>
    <s v="m"/>
    <s v="Completed"/>
    <x v="1"/>
    <s v="Daily excavation"/>
    <s v="Group"/>
    <n v="0"/>
    <x v="0"/>
    <x v="0"/>
    <n v="0"/>
    <n v="64000"/>
    <n v="0"/>
    <n v="0"/>
    <n v="0"/>
  </r>
  <r>
    <s v="LOG012"/>
    <d v="2026-02-01T00:00:00"/>
    <s v="Sunday"/>
    <x v="0"/>
    <d v="2026-02-01T00:00:00"/>
    <x v="1"/>
    <x v="1"/>
    <n v="8000"/>
    <s v="NGN"/>
    <s v="Paid"/>
    <x v="1"/>
    <s v="Labour for excavation"/>
    <s v="Group"/>
    <n v="8000"/>
    <x v="0"/>
    <x v="0"/>
    <n v="0"/>
    <n v="0"/>
    <n v="0"/>
    <n v="0"/>
    <n v="0"/>
  </r>
  <r>
    <s v="LOG013"/>
    <d v="2026-02-01T00:00:00"/>
    <s v="Sunday"/>
    <x v="0"/>
    <d v="2026-02-01T00:00:00"/>
    <x v="0"/>
    <x v="0"/>
    <n v="0"/>
    <s v="m"/>
    <s v="Completed"/>
    <x v="1"/>
    <s v="Removal of trees"/>
    <s v="Group"/>
    <n v="0"/>
    <x v="0"/>
    <x v="0"/>
    <n v="0"/>
    <n v="0"/>
    <n v="0"/>
    <n v="0"/>
    <n v="0"/>
  </r>
  <r>
    <s v="LOG014"/>
    <d v="2026-02-02T00:00:00"/>
    <s v="Monday"/>
    <x v="1"/>
    <d v="2026-02-01T00:00:00"/>
    <x v="0"/>
    <x v="0"/>
    <n v="152.5"/>
    <s v="m"/>
    <s v="Completed"/>
    <x v="1"/>
    <s v="Daily excavation"/>
    <s v="Group"/>
    <n v="0"/>
    <x v="0"/>
    <x v="0"/>
    <n v="0"/>
    <n v="152500"/>
    <n v="0"/>
    <n v="0"/>
    <n v="0"/>
  </r>
  <r>
    <s v="LOG015"/>
    <d v="2026-02-02T00:00:00"/>
    <s v="Monday"/>
    <x v="1"/>
    <d v="2026-02-01T00:00:00"/>
    <x v="1"/>
    <x v="1"/>
    <n v="16000"/>
    <s v="NGN"/>
    <s v="Paid"/>
    <x v="1"/>
    <s v="Labour for excavation"/>
    <s v="Group"/>
    <n v="16000"/>
    <x v="0"/>
    <x v="0"/>
    <n v="0"/>
    <n v="0"/>
    <n v="0"/>
    <n v="0"/>
    <n v="0"/>
  </r>
  <r>
    <s v="LOG016"/>
    <d v="2026-02-04T00:00:00"/>
    <s v="Wednesday"/>
    <x v="1"/>
    <d v="2026-02-01T00:00:00"/>
    <x v="0"/>
    <x v="0"/>
    <n v="17"/>
    <s v="m"/>
    <s v="Completed"/>
    <x v="1"/>
    <s v="Daily excavation"/>
    <s v="Group"/>
    <n v="0"/>
    <x v="0"/>
    <x v="0"/>
    <n v="0"/>
    <n v="17000"/>
    <n v="0"/>
    <n v="0"/>
    <n v="0"/>
  </r>
  <r>
    <s v="LOG017"/>
    <d v="2026-02-04T00:00:00"/>
    <s v="Wednesday"/>
    <x v="1"/>
    <d v="2026-02-01T00:00:00"/>
    <x v="1"/>
    <x v="1"/>
    <n v="2000"/>
    <s v="NGN"/>
    <s v="Paid"/>
    <x v="1"/>
    <s v="Labour for excavation"/>
    <s v="Group"/>
    <n v="2000"/>
    <x v="0"/>
    <x v="0"/>
    <n v="0"/>
    <n v="0"/>
    <n v="0"/>
    <n v="0"/>
    <n v="0"/>
  </r>
  <r>
    <s v="LOG018"/>
    <d v="2026-02-05T00:00:00"/>
    <s v="Thursday"/>
    <x v="1"/>
    <d v="2026-02-01T00:00:00"/>
    <x v="0"/>
    <x v="0"/>
    <n v="0"/>
    <s v="m"/>
    <s v="Completed"/>
    <x v="1"/>
    <s v="Culvert &amp; apron preparation"/>
    <s v="Group"/>
    <n v="0"/>
    <x v="0"/>
    <x v="0"/>
    <n v="0"/>
    <n v="0"/>
    <n v="0"/>
    <n v="0"/>
    <n v="0"/>
  </r>
  <r>
    <s v="LOG019"/>
    <d v="2026-02-06T00:00:00"/>
    <s v="Friday"/>
    <x v="1"/>
    <d v="2026-02-01T00:00:00"/>
    <x v="0"/>
    <x v="0"/>
    <n v="0"/>
    <s v="m"/>
    <s v="Completed"/>
    <x v="1"/>
    <s v="Box culvert excavation (cost only)"/>
    <s v="Group"/>
    <n v="0"/>
    <x v="0"/>
    <x v="0"/>
    <n v="0"/>
    <n v="0"/>
    <n v="0"/>
    <n v="0"/>
    <n v="0"/>
  </r>
  <r>
    <s v="LOG020"/>
    <d v="2026-02-06T00:00:00"/>
    <s v="Friday"/>
    <x v="1"/>
    <d v="2026-02-26T00:00:00"/>
    <x v="2"/>
    <x v="2"/>
    <n v="54"/>
    <s v="pcs"/>
    <s v="Delivered"/>
    <x v="0"/>
    <s v="Y16 rebar delivery"/>
    <s v="Store Count"/>
    <n v="0"/>
    <x v="0"/>
    <x v="0"/>
    <n v="0"/>
    <n v="0"/>
    <n v="0"/>
    <n v="0"/>
    <n v="0"/>
  </r>
  <r>
    <s v="LOG021"/>
    <d v="2026-02-06T00:00:00"/>
    <s v="Friday"/>
    <x v="1"/>
    <d v="2026-02-26T00:00:00"/>
    <x v="2"/>
    <x v="3"/>
    <n v="402"/>
    <s v="pcs"/>
    <s v="Delivered"/>
    <x v="0"/>
    <s v="Y10 rebar delivery"/>
    <s v="Store Count"/>
    <n v="0"/>
    <x v="0"/>
    <x v="0"/>
    <n v="0"/>
    <n v="0"/>
    <n v="0"/>
    <n v="0"/>
    <n v="0"/>
  </r>
  <r>
    <s v="LOG022"/>
    <d v="2026-02-06T00:00:00"/>
    <s v="Friday"/>
    <x v="1"/>
    <d v="2026-02-26T00:00:00"/>
    <x v="2"/>
    <x v="4"/>
    <n v="840"/>
    <s v="pcs"/>
    <s v="Delivered"/>
    <x v="0"/>
    <s v="Y8 rebar delivery"/>
    <s v="Store Count"/>
    <n v="0"/>
    <x v="0"/>
    <x v="0"/>
    <n v="0"/>
    <n v="0"/>
    <n v="0"/>
    <n v="0"/>
    <n v="0"/>
  </r>
  <r>
    <s v="LOG023"/>
    <d v="2026-02-08T00:00:00"/>
    <s v="Sunday"/>
    <x v="1"/>
    <d v="2026-02-01T00:00:00"/>
    <x v="0"/>
    <x v="5"/>
    <n v="69"/>
    <s v="m"/>
    <s v="Completed"/>
    <x v="0"/>
    <s v="Trench repair"/>
    <s v="Group"/>
    <n v="0"/>
    <x v="0"/>
    <x v="0"/>
    <n v="0"/>
    <n v="55200"/>
    <n v="0"/>
    <n v="0"/>
    <n v="0"/>
  </r>
  <r>
    <s v="LOG024"/>
    <d v="2026-02-08T00:00:00"/>
    <s v="Sunday"/>
    <x v="1"/>
    <d v="2026-02-01T00:00:00"/>
    <x v="1"/>
    <x v="1"/>
    <n v="7000"/>
    <s v="NGN"/>
    <s v="Paid"/>
    <x v="0"/>
    <s v="Labour for trench repair"/>
    <s v="Group"/>
    <n v="7000"/>
    <x v="0"/>
    <x v="0"/>
    <n v="0"/>
    <n v="0"/>
    <n v="0"/>
    <n v="0"/>
    <n v="0"/>
  </r>
  <r>
    <s v="LOG025"/>
    <d v="2026-02-08T00:00:00"/>
    <s v="Sunday"/>
    <x v="1"/>
    <d v="2026-02-01T00:00:00"/>
    <x v="3"/>
    <x v="6"/>
    <n v="5"/>
    <s v="nos"/>
    <s v="Produced"/>
    <x v="0"/>
    <s v="Basket production"/>
    <s v="Group"/>
    <n v="0"/>
    <x v="0"/>
    <x v="0"/>
    <n v="0"/>
    <n v="0"/>
    <n v="0"/>
    <n v="0"/>
    <n v="0"/>
  </r>
  <r>
    <s v="LOG026"/>
    <d v="2026-02-09T00:00:00"/>
    <s v="Monday"/>
    <x v="2"/>
    <d v="2026-02-01T00:00:00"/>
    <x v="0"/>
    <x v="5"/>
    <n v="120"/>
    <s v="m"/>
    <s v="Completed"/>
    <x v="0"/>
    <s v="Trench repair"/>
    <s v="Group"/>
    <n v="0"/>
    <x v="0"/>
    <x v="0"/>
    <n v="0"/>
    <n v="96000"/>
    <n v="0"/>
    <n v="0"/>
    <n v="0"/>
  </r>
  <r>
    <s v="LOG027"/>
    <d v="2026-02-09T00:00:00"/>
    <s v="Monday"/>
    <x v="2"/>
    <d v="2026-02-01T00:00:00"/>
    <x v="1"/>
    <x v="1"/>
    <n v="12000"/>
    <s v="NGN"/>
    <s v="Paid"/>
    <x v="0"/>
    <s v="Labour for trench repair"/>
    <s v="Group"/>
    <n v="12000"/>
    <x v="0"/>
    <x v="0"/>
    <n v="0"/>
    <n v="0"/>
    <n v="0"/>
    <n v="0"/>
    <n v="0"/>
  </r>
  <r>
    <s v="LOG028"/>
    <d v="2026-02-09T00:00:00"/>
    <s v="Monday"/>
    <x v="2"/>
    <d v="2026-02-01T00:00:00"/>
    <x v="3"/>
    <x v="6"/>
    <n v="12"/>
    <s v="nos"/>
    <s v="Produced"/>
    <x v="0"/>
    <s v="Basket production"/>
    <s v="Group"/>
    <n v="0"/>
    <x v="0"/>
    <x v="0"/>
    <n v="0"/>
    <n v="0"/>
    <n v="0"/>
    <n v="0"/>
    <n v="0"/>
  </r>
  <r>
    <s v="LOG029"/>
    <d v="2026-02-10T00:00:00"/>
    <s v="Tuesday"/>
    <x v="2"/>
    <d v="2026-02-01T00:00:00"/>
    <x v="0"/>
    <x v="5"/>
    <n v="33"/>
    <s v="m"/>
    <s v="Completed"/>
    <x v="0"/>
    <s v="Trench repair"/>
    <s v="Group"/>
    <n v="0"/>
    <x v="0"/>
    <x v="0"/>
    <n v="0"/>
    <n v="26400"/>
    <n v="0"/>
    <n v="0"/>
    <n v="0"/>
  </r>
  <r>
    <s v="LOG030"/>
    <d v="2026-02-10T00:00:00"/>
    <s v="Tuesday"/>
    <x v="2"/>
    <d v="2026-02-01T00:00:00"/>
    <x v="1"/>
    <x v="1"/>
    <n v="3500"/>
    <s v="NGN"/>
    <s v="Paid"/>
    <x v="0"/>
    <s v="Labour for trench repair"/>
    <s v="Group"/>
    <n v="3500"/>
    <x v="0"/>
    <x v="0"/>
    <n v="0"/>
    <n v="0"/>
    <n v="0"/>
    <n v="0"/>
    <n v="0"/>
  </r>
  <r>
    <s v="LOG031"/>
    <d v="2026-02-10T00:00:00"/>
    <s v="Tuesday"/>
    <x v="2"/>
    <d v="2026-02-01T00:00:00"/>
    <x v="3"/>
    <x v="6"/>
    <n v="8"/>
    <s v="nos"/>
    <s v="Produced"/>
    <x v="0"/>
    <s v="Basket production"/>
    <s v="Group"/>
    <n v="0"/>
    <x v="0"/>
    <x v="0"/>
    <n v="0"/>
    <n v="0"/>
    <n v="0"/>
    <n v="0"/>
    <n v="0"/>
  </r>
  <r>
    <s v="LOG032"/>
    <d v="2026-02-11T00:00:00"/>
    <s v="Wednesday"/>
    <x v="2"/>
    <d v="2026-02-01T00:00:00"/>
    <x v="0"/>
    <x v="5"/>
    <n v="44"/>
    <s v="m"/>
    <s v="Completed"/>
    <x v="0"/>
    <s v="Trench repair"/>
    <s v="Group"/>
    <n v="0"/>
    <x v="0"/>
    <x v="0"/>
    <n v="0"/>
    <n v="35200"/>
    <n v="0"/>
    <n v="0"/>
    <n v="0"/>
  </r>
  <r>
    <s v="LOG033"/>
    <d v="2026-02-11T00:00:00"/>
    <s v="Wednesday"/>
    <x v="2"/>
    <d v="2026-02-01T00:00:00"/>
    <x v="1"/>
    <x v="1"/>
    <n v="4500"/>
    <s v="NGN"/>
    <s v="Paid"/>
    <x v="0"/>
    <s v="Labour for trench repair"/>
    <s v="Group"/>
    <n v="4500"/>
    <x v="0"/>
    <x v="0"/>
    <n v="0"/>
    <n v="0"/>
    <n v="0"/>
    <n v="0"/>
    <n v="0"/>
  </r>
  <r>
    <s v="LOG034"/>
    <d v="2026-02-12T00:00:00"/>
    <s v="Thursday"/>
    <x v="2"/>
    <d v="2026-02-01T00:00:00"/>
    <x v="0"/>
    <x v="5"/>
    <n v="53"/>
    <s v="m"/>
    <s v="Completed"/>
    <x v="0"/>
    <s v="Trench repair"/>
    <s v="Group"/>
    <n v="0"/>
    <x v="0"/>
    <x v="0"/>
    <n v="0"/>
    <n v="42400"/>
    <n v="0"/>
    <n v="0"/>
    <n v="0"/>
  </r>
  <r>
    <s v="LOG035"/>
    <d v="2026-02-12T00:00:00"/>
    <s v="Thursday"/>
    <x v="2"/>
    <d v="2026-02-01T00:00:00"/>
    <x v="1"/>
    <x v="1"/>
    <n v="5500"/>
    <s v="NGN"/>
    <s v="Paid"/>
    <x v="0"/>
    <s v="Labour for trench repair"/>
    <s v="Group"/>
    <n v="5500"/>
    <x v="0"/>
    <x v="0"/>
    <n v="0"/>
    <n v="0"/>
    <n v="0"/>
    <n v="0"/>
    <n v="0"/>
  </r>
  <r>
    <s v="LOG036"/>
    <d v="2026-02-12T00:00:00"/>
    <s v="Thursday"/>
    <x v="2"/>
    <d v="2026-02-01T00:00:00"/>
    <x v="2"/>
    <x v="7"/>
    <n v="450"/>
    <s v="bags"/>
    <s v="Delivered"/>
    <x v="0"/>
    <s v="Initial cement delivery"/>
    <s v="Group"/>
    <n v="0"/>
    <x v="0"/>
    <x v="0"/>
    <n v="0"/>
    <n v="0"/>
    <n v="0"/>
    <n v="0"/>
    <n v="0"/>
  </r>
  <r>
    <s v="LOG037"/>
    <d v="2026-02-12T00:00:00"/>
    <s v="Thursday"/>
    <x v="2"/>
    <d v="2026-02-01T00:00:00"/>
    <x v="3"/>
    <x v="6"/>
    <n v="11"/>
    <s v="nos"/>
    <s v="Produced"/>
    <x v="0"/>
    <s v="Basket production"/>
    <s v="Group"/>
    <n v="0"/>
    <x v="0"/>
    <x v="0"/>
    <n v="0"/>
    <n v="0"/>
    <n v="0"/>
    <n v="0"/>
    <n v="0"/>
  </r>
  <r>
    <s v="LOG038"/>
    <d v="2026-02-13T00:00:00"/>
    <s v="Friday"/>
    <x v="2"/>
    <d v="2026-02-01T00:00:00"/>
    <x v="0"/>
    <x v="5"/>
    <n v="49"/>
    <s v="m"/>
    <s v="Completed"/>
    <x v="0"/>
    <s v="Trench repair"/>
    <s v="Group"/>
    <n v="0"/>
    <x v="0"/>
    <x v="0"/>
    <n v="0"/>
    <n v="39200"/>
    <n v="0"/>
    <n v="0"/>
    <n v="0"/>
  </r>
  <r>
    <s v="LOG039"/>
    <d v="2026-02-13T00:00:00"/>
    <s v="Friday"/>
    <x v="2"/>
    <d v="2026-02-01T00:00:00"/>
    <x v="1"/>
    <x v="1"/>
    <n v="5000"/>
    <s v="NGN"/>
    <s v="Paid"/>
    <x v="0"/>
    <s v="Labour for trench repair"/>
    <s v="Group"/>
    <n v="5000"/>
    <x v="0"/>
    <x v="0"/>
    <n v="0"/>
    <n v="0"/>
    <n v="0"/>
    <n v="0"/>
    <n v="0"/>
  </r>
  <r>
    <s v="LOG040"/>
    <d v="2026-02-13T00:00:00"/>
    <s v="Friday"/>
    <x v="2"/>
    <d v="2026-02-01T00:00:00"/>
    <x v="3"/>
    <x v="6"/>
    <n v="0"/>
    <s v="nos"/>
    <s v="Produced"/>
    <x v="0"/>
    <s v="No production (wedding)"/>
    <s v="Group"/>
    <n v="0"/>
    <x v="0"/>
    <x v="0"/>
    <n v="0"/>
    <n v="0"/>
    <n v="0"/>
    <n v="0"/>
    <n v="0"/>
  </r>
  <r>
    <s v="LOG041"/>
    <d v="2026-02-14T00:00:00"/>
    <s v="Saturday"/>
    <x v="2"/>
    <d v="2026-02-01T00:00:00"/>
    <x v="3"/>
    <x v="6"/>
    <n v="0"/>
    <s v="nos"/>
    <s v="Produced"/>
    <x v="0"/>
    <s v="No production"/>
    <s v="Group"/>
    <n v="0"/>
    <x v="0"/>
    <x v="0"/>
    <n v="0"/>
    <n v="0"/>
    <n v="0"/>
    <n v="0"/>
    <n v="0"/>
  </r>
  <r>
    <s v="LOG042"/>
    <d v="2026-02-15T00:00:00"/>
    <s v="Sunday"/>
    <x v="2"/>
    <d v="2026-02-01T00:00:00"/>
    <x v="3"/>
    <x v="6"/>
    <n v="1"/>
    <s v="nos"/>
    <s v="Produced"/>
    <x v="0"/>
    <s v="Basket production"/>
    <s v="Group"/>
    <n v="0"/>
    <x v="0"/>
    <x v="0"/>
    <n v="0"/>
    <n v="0"/>
    <n v="0"/>
    <n v="0"/>
    <n v="0"/>
  </r>
  <r>
    <s v="LOG043"/>
    <d v="2026-02-16T00:00:00"/>
    <s v="Monday"/>
    <x v="3"/>
    <d v="2026-02-01T00:00:00"/>
    <x v="3"/>
    <x v="8"/>
    <n v="40"/>
    <s v="m"/>
    <s v="Used"/>
    <x v="0"/>
    <s v="Base casting activities"/>
    <s v="Group"/>
    <n v="0"/>
    <x v="0"/>
    <x v="0"/>
    <n v="0"/>
    <n v="0"/>
    <n v="20000"/>
    <n v="0"/>
    <n v="0"/>
  </r>
  <r>
    <s v="LOG044"/>
    <d v="2026-02-16T00:00:00"/>
    <s v="Monday"/>
    <x v="3"/>
    <d v="2026-02-01T00:00:00"/>
    <x v="3"/>
    <x v="9"/>
    <n v="18"/>
    <s v="bags"/>
    <s v="Used"/>
    <x v="0"/>
    <s v="Base casting"/>
    <s v="Group"/>
    <n v="0"/>
    <x v="0"/>
    <x v="0"/>
    <n v="0"/>
    <n v="0"/>
    <n v="0"/>
    <n v="0"/>
    <n v="0"/>
  </r>
  <r>
    <s v="LOG045"/>
    <d v="2026-02-16T00:00:00"/>
    <s v="Monday"/>
    <x v="3"/>
    <d v="2026-02-01T00:00:00"/>
    <x v="3"/>
    <x v="10"/>
    <n v="9"/>
    <s v="trips"/>
    <s v="Used"/>
    <x v="0"/>
    <s v="Base casting"/>
    <s v="Group"/>
    <n v="0"/>
    <x v="0"/>
    <x v="0"/>
    <n v="0"/>
    <n v="0"/>
    <n v="0"/>
    <n v="0"/>
    <n v="9000"/>
  </r>
  <r>
    <s v="LOG046"/>
    <d v="2026-02-16T00:00:00"/>
    <s v="Monday"/>
    <x v="3"/>
    <d v="2026-02-01T00:00:00"/>
    <x v="3"/>
    <x v="6"/>
    <n v="3.6"/>
    <s v="nos"/>
    <s v="Produced"/>
    <x v="0"/>
    <s v="Used in base casting"/>
    <s v="Group"/>
    <n v="0"/>
    <x v="0"/>
    <x v="0"/>
    <n v="0"/>
    <n v="0"/>
    <n v="0"/>
    <n v="0"/>
    <n v="0"/>
  </r>
  <r>
    <s v="LOG047"/>
    <d v="2026-02-16T00:00:00"/>
    <s v="Monday"/>
    <x v="3"/>
    <d v="2026-02-01T00:00:00"/>
    <x v="1"/>
    <x v="1"/>
    <n v="16000"/>
    <s v="NGN"/>
    <s v="Paid"/>
    <x v="0"/>
    <s v="4 labours"/>
    <s v="Group"/>
    <n v="16000"/>
    <x v="0"/>
    <x v="0"/>
    <n v="0"/>
    <n v="0"/>
    <n v="0"/>
    <n v="0"/>
    <n v="0"/>
  </r>
  <r>
    <s v="LOG048"/>
    <d v="2026-02-16T00:00:00"/>
    <s v="Monday"/>
    <x v="3"/>
    <d v="2026-02-01T00:00:00"/>
    <x v="4"/>
    <x v="11"/>
    <n v="6"/>
    <s v="hours"/>
    <s v="Operated"/>
    <x v="0"/>
    <s v="Mixer operation"/>
    <s v="Group"/>
    <n v="0"/>
    <x v="1"/>
    <x v="0"/>
    <n v="0"/>
    <n v="0"/>
    <n v="0"/>
    <n v="0"/>
    <n v="0"/>
  </r>
  <r>
    <s v="LOG049"/>
    <d v="2026-02-16T00:00:00"/>
    <s v="Monday"/>
    <x v="3"/>
    <d v="2026-02-01T00:00:00"/>
    <x v="4"/>
    <x v="12"/>
    <n v="4"/>
    <s v="hours"/>
    <s v="Operated"/>
    <x v="0"/>
    <s v="Vibrator operation"/>
    <s v="Group"/>
    <n v="0"/>
    <x v="0"/>
    <x v="1"/>
    <n v="0"/>
    <n v="0"/>
    <n v="0"/>
    <n v="0"/>
    <n v="0"/>
  </r>
  <r>
    <s v="LOG050"/>
    <d v="2026-02-17T00:00:00"/>
    <s v="Tuesday"/>
    <x v="3"/>
    <d v="2026-02-01T00:00:00"/>
    <x v="3"/>
    <x v="8"/>
    <n v="84"/>
    <s v="m"/>
    <s v="Used"/>
    <x v="0"/>
    <s v="Base casting activities"/>
    <s v="Group"/>
    <n v="0"/>
    <x v="0"/>
    <x v="0"/>
    <n v="0"/>
    <n v="0"/>
    <n v="42000"/>
    <n v="0"/>
    <n v="0"/>
  </r>
  <r>
    <s v="LOG051"/>
    <d v="2026-02-17T00:00:00"/>
    <s v="Tuesday"/>
    <x v="3"/>
    <d v="2026-02-01T00:00:00"/>
    <x v="3"/>
    <x v="9"/>
    <n v="22"/>
    <s v="bags"/>
    <s v="Used"/>
    <x v="0"/>
    <s v="Base casting"/>
    <s v="Group"/>
    <n v="0"/>
    <x v="0"/>
    <x v="0"/>
    <n v="0"/>
    <n v="0"/>
    <n v="0"/>
    <n v="0"/>
    <n v="0"/>
  </r>
  <r>
    <s v="LOG052"/>
    <d v="2026-02-17T00:00:00"/>
    <s v="Tuesday"/>
    <x v="3"/>
    <d v="2026-02-01T00:00:00"/>
    <x v="3"/>
    <x v="10"/>
    <n v="15"/>
    <s v="trips"/>
    <s v="Used"/>
    <x v="0"/>
    <s v="Base casting"/>
    <s v="Group"/>
    <n v="0"/>
    <x v="0"/>
    <x v="0"/>
    <n v="0"/>
    <n v="0"/>
    <n v="0"/>
    <n v="0"/>
    <n v="15000"/>
  </r>
  <r>
    <s v="LOG053"/>
    <d v="2026-02-17T00:00:00"/>
    <s v="Tuesday"/>
    <x v="3"/>
    <d v="2026-02-01T00:00:00"/>
    <x v="3"/>
    <x v="6"/>
    <n v="7.5"/>
    <s v="nos"/>
    <s v="Produced"/>
    <x v="0"/>
    <s v="Used in base casting"/>
    <s v="Group"/>
    <n v="0"/>
    <x v="0"/>
    <x v="0"/>
    <n v="0"/>
    <n v="0"/>
    <n v="0"/>
    <n v="0"/>
    <n v="0"/>
  </r>
  <r>
    <s v="LOG054"/>
    <d v="2026-02-17T00:00:00"/>
    <s v="Tuesday"/>
    <x v="3"/>
    <d v="2026-02-01T00:00:00"/>
    <x v="3"/>
    <x v="6"/>
    <n v="11.9"/>
    <s v="nos"/>
    <s v="Produced"/>
    <x v="0"/>
    <s v="Basket production (adjusted)"/>
    <s v="Group"/>
    <n v="0"/>
    <x v="0"/>
    <x v="0"/>
    <n v="0"/>
    <n v="0"/>
    <n v="0"/>
    <n v="0"/>
    <n v="0"/>
  </r>
  <r>
    <s v="LOG055"/>
    <d v="2026-02-17T00:00:00"/>
    <s v="Tuesday"/>
    <x v="3"/>
    <d v="2026-02-01T00:00:00"/>
    <x v="1"/>
    <x v="1"/>
    <n v="18000"/>
    <s v="NGN"/>
    <s v="Paid"/>
    <x v="0"/>
    <s v="Labour for base casting"/>
    <s v="Group"/>
    <n v="18000"/>
    <x v="0"/>
    <x v="0"/>
    <n v="0"/>
    <n v="0"/>
    <n v="0"/>
    <n v="0"/>
    <n v="0"/>
  </r>
  <r>
    <s v="LOG056"/>
    <d v="2026-02-17T00:00:00"/>
    <s v="Tuesday"/>
    <x v="3"/>
    <d v="2026-02-01T00:00:00"/>
    <x v="4"/>
    <x v="11"/>
    <n v="7"/>
    <s v="hours"/>
    <s v="Operated"/>
    <x v="0"/>
    <s v="Mixer operation"/>
    <s v="Group"/>
    <n v="0"/>
    <x v="2"/>
    <x v="0"/>
    <n v="0"/>
    <n v="0"/>
    <n v="0"/>
    <n v="0"/>
    <n v="0"/>
  </r>
  <r>
    <s v="LOG057"/>
    <d v="2026-02-17T00:00:00"/>
    <s v="Tuesday"/>
    <x v="3"/>
    <d v="2026-02-01T00:00:00"/>
    <x v="4"/>
    <x v="12"/>
    <n v="5"/>
    <s v="hours"/>
    <s v="Operated"/>
    <x v="0"/>
    <s v="Vibrator operation"/>
    <s v="Group"/>
    <n v="0"/>
    <x v="0"/>
    <x v="2"/>
    <n v="0"/>
    <n v="0"/>
    <n v="0"/>
    <n v="0"/>
    <n v="0"/>
  </r>
  <r>
    <s v="LOG058"/>
    <d v="2026-02-18T00:00:00"/>
    <s v="Wednesday"/>
    <x v="3"/>
    <d v="2026-02-01T00:00:00"/>
    <x v="3"/>
    <x v="8"/>
    <n v="100"/>
    <s v="m"/>
    <s v="Used"/>
    <x v="0"/>
    <s v="Base casting activities"/>
    <s v="Group"/>
    <n v="0"/>
    <x v="0"/>
    <x v="0"/>
    <n v="0"/>
    <n v="0"/>
    <n v="50000"/>
    <n v="0"/>
    <n v="0"/>
  </r>
  <r>
    <s v="LOG059"/>
    <d v="2026-02-18T00:00:00"/>
    <s v="Wednesday"/>
    <x v="3"/>
    <d v="2026-02-01T00:00:00"/>
    <x v="3"/>
    <x v="9"/>
    <n v="27"/>
    <s v="bags"/>
    <s v="Used"/>
    <x v="0"/>
    <s v="Base casting"/>
    <s v="Group"/>
    <n v="0"/>
    <x v="0"/>
    <x v="0"/>
    <n v="0"/>
    <n v="0"/>
    <n v="0"/>
    <n v="0"/>
    <n v="0"/>
  </r>
  <r>
    <s v="LOG060"/>
    <d v="2026-02-18T00:00:00"/>
    <s v="Wednesday"/>
    <x v="3"/>
    <d v="2026-02-01T00:00:00"/>
    <x v="3"/>
    <x v="10"/>
    <n v="15"/>
    <s v="trips"/>
    <s v="Used"/>
    <x v="0"/>
    <s v="Base casting"/>
    <s v="Group"/>
    <n v="0"/>
    <x v="0"/>
    <x v="0"/>
    <n v="0"/>
    <n v="0"/>
    <n v="0"/>
    <n v="0"/>
    <n v="15000"/>
  </r>
  <r>
    <s v="LOG061"/>
    <d v="2026-02-18T00:00:00"/>
    <s v="Wednesday"/>
    <x v="3"/>
    <d v="2026-02-01T00:00:00"/>
    <x v="3"/>
    <x v="6"/>
    <n v="9"/>
    <s v="nos"/>
    <s v="Produced"/>
    <x v="0"/>
    <s v="Used in base casting"/>
    <s v="Group"/>
    <n v="0"/>
    <x v="0"/>
    <x v="0"/>
    <n v="0"/>
    <n v="0"/>
    <n v="0"/>
    <n v="0"/>
    <n v="0"/>
  </r>
  <r>
    <s v="LOG062"/>
    <d v="2026-02-18T00:00:00"/>
    <s v="Wednesday"/>
    <x v="3"/>
    <d v="2026-02-01T00:00:00"/>
    <x v="1"/>
    <x v="1"/>
    <n v="20000"/>
    <s v="NGN"/>
    <s v="Paid"/>
    <x v="0"/>
    <s v="Labour for base casting"/>
    <s v="Group"/>
    <n v="20000"/>
    <x v="0"/>
    <x v="0"/>
    <n v="0"/>
    <n v="0"/>
    <n v="0"/>
    <n v="0"/>
    <n v="0"/>
  </r>
  <r>
    <s v="LOG063"/>
    <d v="2026-02-18T00:00:00"/>
    <s v="Wednesday"/>
    <x v="3"/>
    <d v="2026-02-01T00:00:00"/>
    <x v="4"/>
    <x v="11"/>
    <n v="7"/>
    <s v="hours"/>
    <s v="Operated"/>
    <x v="0"/>
    <s v="Mixer operation"/>
    <s v="Group"/>
    <n v="0"/>
    <x v="2"/>
    <x v="0"/>
    <n v="0"/>
    <n v="0"/>
    <n v="0"/>
    <n v="0"/>
    <n v="0"/>
  </r>
  <r>
    <s v="LOG064"/>
    <d v="2026-02-18T00:00:00"/>
    <s v="Wednesday"/>
    <x v="3"/>
    <d v="2026-02-01T00:00:00"/>
    <x v="4"/>
    <x v="12"/>
    <n v="5"/>
    <s v="hours"/>
    <s v="Operated"/>
    <x v="0"/>
    <s v="Vibrator operation"/>
    <s v="Group"/>
    <n v="0"/>
    <x v="0"/>
    <x v="2"/>
    <n v="0"/>
    <n v="0"/>
    <n v="0"/>
    <n v="0"/>
    <n v="0"/>
  </r>
  <r>
    <s v="LOG065"/>
    <d v="2026-02-19T00:00:00"/>
    <s v="Thursday"/>
    <x v="3"/>
    <d v="2026-02-01T00:00:00"/>
    <x v="3"/>
    <x v="8"/>
    <n v="60"/>
    <s v="m"/>
    <s v="Used"/>
    <x v="0"/>
    <s v="Base casting activities"/>
    <s v="Group"/>
    <n v="0"/>
    <x v="0"/>
    <x v="0"/>
    <n v="0"/>
    <n v="0"/>
    <n v="30000"/>
    <n v="0"/>
    <n v="0"/>
  </r>
  <r>
    <s v="LOG066"/>
    <d v="2026-02-19T00:00:00"/>
    <s v="Thursday"/>
    <x v="3"/>
    <d v="2026-02-01T00:00:00"/>
    <x v="3"/>
    <x v="13"/>
    <n v="7"/>
    <s v="m"/>
    <s v="Used"/>
    <x v="0"/>
    <s v="Wall casting"/>
    <s v="Group"/>
    <n v="0"/>
    <x v="0"/>
    <x v="0"/>
    <n v="0"/>
    <n v="0"/>
    <n v="0"/>
    <n v="7000"/>
    <n v="0"/>
  </r>
  <r>
    <s v="LOG067"/>
    <d v="2026-02-19T00:00:00"/>
    <s v="Thursday"/>
    <x v="3"/>
    <d v="2026-02-01T00:00:00"/>
    <x v="3"/>
    <x v="9"/>
    <n v="22"/>
    <s v="bags"/>
    <s v="Used"/>
    <x v="0"/>
    <s v="Base &amp; wall casting"/>
    <s v="Group"/>
    <n v="0"/>
    <x v="0"/>
    <x v="0"/>
    <n v="0"/>
    <n v="0"/>
    <n v="0"/>
    <n v="0"/>
    <n v="0"/>
  </r>
  <r>
    <s v="LOG068"/>
    <d v="2026-02-19T00:00:00"/>
    <s v="Thursday"/>
    <x v="3"/>
    <d v="2026-02-01T00:00:00"/>
    <x v="3"/>
    <x v="10"/>
    <n v="10"/>
    <s v="trips"/>
    <s v="Used"/>
    <x v="0"/>
    <s v="Base &amp; wall casting"/>
    <s v="Group"/>
    <n v="0"/>
    <x v="0"/>
    <x v="0"/>
    <n v="0"/>
    <n v="0"/>
    <n v="0"/>
    <n v="0"/>
    <n v="10000"/>
  </r>
  <r>
    <s v="LOG069"/>
    <d v="2026-02-19T00:00:00"/>
    <s v="Thursday"/>
    <x v="3"/>
    <d v="2026-02-01T00:00:00"/>
    <x v="3"/>
    <x v="6"/>
    <n v="6"/>
    <s v="nos"/>
    <s v="Produced"/>
    <x v="0"/>
    <s v="Used in base &amp; wall"/>
    <s v="Group"/>
    <n v="0"/>
    <x v="0"/>
    <x v="0"/>
    <n v="0"/>
    <n v="0"/>
    <n v="0"/>
    <n v="0"/>
    <n v="0"/>
  </r>
  <r>
    <s v="LOG070"/>
    <d v="2026-02-19T00:00:00"/>
    <s v="Thursday"/>
    <x v="3"/>
    <d v="2026-02-01T00:00:00"/>
    <x v="1"/>
    <x v="1"/>
    <n v="18000"/>
    <s v="NGN"/>
    <s v="Paid"/>
    <x v="0"/>
    <s v="Labour for base &amp; wall"/>
    <s v="Group"/>
    <n v="18000"/>
    <x v="0"/>
    <x v="0"/>
    <n v="0"/>
    <n v="0"/>
    <n v="0"/>
    <n v="0"/>
    <n v="0"/>
  </r>
  <r>
    <s v="LOG071"/>
    <d v="2026-02-19T00:00:00"/>
    <s v="Thursday"/>
    <x v="3"/>
    <d v="2026-02-01T00:00:00"/>
    <x v="4"/>
    <x v="11"/>
    <n v="6"/>
    <s v="hours"/>
    <s v="Operated"/>
    <x v="0"/>
    <s v="Mixer operation"/>
    <s v="Group"/>
    <n v="0"/>
    <x v="1"/>
    <x v="0"/>
    <n v="0"/>
    <n v="0"/>
    <n v="0"/>
    <n v="0"/>
    <n v="0"/>
  </r>
  <r>
    <s v="LOG072"/>
    <d v="2026-02-19T00:00:00"/>
    <s v="Thursday"/>
    <x v="3"/>
    <d v="2026-02-01T00:00:00"/>
    <x v="4"/>
    <x v="12"/>
    <n v="4"/>
    <s v="hours"/>
    <s v="Operated"/>
    <x v="0"/>
    <s v="Vibrator operation"/>
    <s v="Group"/>
    <n v="0"/>
    <x v="0"/>
    <x v="1"/>
    <n v="0"/>
    <n v="0"/>
    <n v="0"/>
    <n v="0"/>
    <n v="0"/>
  </r>
  <r>
    <s v="LOG073"/>
    <d v="2026-02-20T00:00:00"/>
    <s v="Friday"/>
    <x v="3"/>
    <d v="2026-02-01T00:00:00"/>
    <x v="3"/>
    <x v="8"/>
    <n v="70"/>
    <s v="m"/>
    <s v="Used"/>
    <x v="0"/>
    <s v="Base casting activities"/>
    <s v="Group"/>
    <n v="0"/>
    <x v="0"/>
    <x v="0"/>
    <n v="0"/>
    <n v="0"/>
    <n v="35000"/>
    <n v="0"/>
    <n v="0"/>
  </r>
  <r>
    <s v="LOG074"/>
    <d v="2026-02-20T00:00:00"/>
    <s v="Friday"/>
    <x v="3"/>
    <d v="2026-02-01T00:00:00"/>
    <x v="3"/>
    <x v="9"/>
    <n v="18"/>
    <s v="bags"/>
    <s v="Used"/>
    <x v="0"/>
    <s v="Base casting"/>
    <s v="Group"/>
    <n v="0"/>
    <x v="0"/>
    <x v="0"/>
    <n v="0"/>
    <n v="0"/>
    <n v="0"/>
    <n v="0"/>
    <n v="0"/>
  </r>
  <r>
    <s v="LOG075"/>
    <d v="2026-02-20T00:00:00"/>
    <s v="Friday"/>
    <x v="3"/>
    <d v="2026-02-01T00:00:00"/>
    <x v="3"/>
    <x v="10"/>
    <n v="10"/>
    <s v="trips"/>
    <s v="Used"/>
    <x v="0"/>
    <s v="Base casting"/>
    <s v="Group"/>
    <n v="0"/>
    <x v="0"/>
    <x v="0"/>
    <n v="0"/>
    <n v="0"/>
    <n v="0"/>
    <n v="0"/>
    <n v="10000"/>
  </r>
  <r>
    <s v="LOG076"/>
    <d v="2026-02-20T00:00:00"/>
    <s v="Friday"/>
    <x v="3"/>
    <d v="2026-02-01T00:00:00"/>
    <x v="3"/>
    <x v="14"/>
    <n v="1"/>
    <s v="trip"/>
    <s v="Used"/>
    <x v="0"/>
    <s v="First trip sharp sand"/>
    <s v="Group"/>
    <n v="0"/>
    <x v="0"/>
    <x v="0"/>
    <n v="0"/>
    <n v="0"/>
    <n v="0"/>
    <n v="0"/>
    <n v="0"/>
  </r>
  <r>
    <s v="LOG077"/>
    <d v="2026-02-20T00:00:00"/>
    <s v="Friday"/>
    <x v="3"/>
    <d v="2026-02-01T00:00:00"/>
    <x v="1"/>
    <x v="1"/>
    <n v="15000"/>
    <s v="NGN"/>
    <s v="Paid"/>
    <x v="0"/>
    <s v="Labour for base casting"/>
    <s v="Group"/>
    <n v="15000"/>
    <x v="0"/>
    <x v="0"/>
    <n v="0"/>
    <n v="0"/>
    <n v="0"/>
    <n v="0"/>
    <n v="0"/>
  </r>
  <r>
    <s v="LOG078"/>
    <d v="2026-02-20T00:00:00"/>
    <s v="Friday"/>
    <x v="3"/>
    <d v="2026-02-01T00:00:00"/>
    <x v="4"/>
    <x v="11"/>
    <n v="7"/>
    <s v="hours"/>
    <s v="Operated"/>
    <x v="0"/>
    <s v="Mixer operation"/>
    <s v="Group"/>
    <n v="0"/>
    <x v="2"/>
    <x v="0"/>
    <n v="0"/>
    <n v="0"/>
    <n v="0"/>
    <n v="0"/>
    <n v="0"/>
  </r>
  <r>
    <s v="LOG079"/>
    <d v="2026-02-20T00:00:00"/>
    <s v="Friday"/>
    <x v="3"/>
    <d v="2026-02-01T00:00:00"/>
    <x v="4"/>
    <x v="12"/>
    <n v="4"/>
    <s v="hours"/>
    <s v="Operated"/>
    <x v="0"/>
    <s v="Vibrator operation"/>
    <s v="Group"/>
    <n v="0"/>
    <x v="0"/>
    <x v="1"/>
    <n v="0"/>
    <n v="0"/>
    <n v="0"/>
    <n v="0"/>
    <n v="0"/>
  </r>
  <r>
    <s v="LOG080"/>
    <d v="2026-02-21T00:00:00"/>
    <s v="Saturday"/>
    <x v="3"/>
    <d v="2026-02-01T00:00:00"/>
    <x v="3"/>
    <x v="13"/>
    <n v="7"/>
    <s v="m"/>
    <s v="Used"/>
    <x v="0"/>
    <s v="Wall casting"/>
    <s v="Group"/>
    <n v="0"/>
    <x v="0"/>
    <x v="0"/>
    <n v="0"/>
    <n v="0"/>
    <n v="0"/>
    <n v="7000"/>
    <n v="0"/>
  </r>
  <r>
    <s v="LOG081"/>
    <d v="2026-02-21T00:00:00"/>
    <s v="Saturday"/>
    <x v="3"/>
    <d v="2026-02-01T00:00:00"/>
    <x v="3"/>
    <x v="9"/>
    <n v="5"/>
    <s v="bags"/>
    <s v="Used"/>
    <x v="0"/>
    <s v="Wall casting"/>
    <s v="Group"/>
    <n v="0"/>
    <x v="0"/>
    <x v="0"/>
    <n v="0"/>
    <n v="0"/>
    <n v="0"/>
    <n v="0"/>
    <n v="0"/>
  </r>
  <r>
    <s v="LOG082"/>
    <d v="2026-02-21T00:00:00"/>
    <s v="Saturday"/>
    <x v="3"/>
    <d v="2026-02-01T00:00:00"/>
    <x v="3"/>
    <x v="10"/>
    <n v="4"/>
    <s v="trips"/>
    <s v="Used"/>
    <x v="0"/>
    <s v="Wall casting"/>
    <s v="Group"/>
    <n v="0"/>
    <x v="0"/>
    <x v="0"/>
    <n v="0"/>
    <n v="0"/>
    <n v="0"/>
    <n v="0"/>
    <n v="4000"/>
  </r>
  <r>
    <s v="LOG083"/>
    <d v="2026-02-21T00:00:00"/>
    <s v="Saturday"/>
    <x v="3"/>
    <d v="2026-02-01T00:00:00"/>
    <x v="3"/>
    <x v="15"/>
    <n v="1"/>
    <s v="trip"/>
    <s v="Used"/>
    <x v="0"/>
    <s v="First aggregate trip"/>
    <s v="Group"/>
    <n v="0"/>
    <x v="0"/>
    <x v="0"/>
    <n v="0"/>
    <n v="0"/>
    <n v="0"/>
    <n v="0"/>
    <n v="0"/>
  </r>
  <r>
    <s v="LOG084"/>
    <d v="2026-02-21T00:00:00"/>
    <s v="Saturday"/>
    <x v="3"/>
    <d v="2026-02-01T00:00:00"/>
    <x v="3"/>
    <x v="6"/>
    <n v="4"/>
    <s v="nos"/>
    <s v="Produced"/>
    <x v="0"/>
    <s v="Basket production"/>
    <s v="Group"/>
    <n v="0"/>
    <x v="0"/>
    <x v="0"/>
    <n v="0"/>
    <n v="0"/>
    <n v="0"/>
    <n v="0"/>
    <n v="0"/>
  </r>
  <r>
    <s v="LOG085"/>
    <d v="2026-02-21T00:00:00"/>
    <s v="Saturday"/>
    <x v="3"/>
    <d v="2026-02-01T00:00:00"/>
    <x v="1"/>
    <x v="1"/>
    <n v="8000"/>
    <s v="NGN"/>
    <s v="Paid"/>
    <x v="0"/>
    <s v="Labour for wall casting"/>
    <s v="Group"/>
    <n v="8000"/>
    <x v="0"/>
    <x v="0"/>
    <n v="0"/>
    <n v="0"/>
    <n v="0"/>
    <n v="0"/>
    <n v="0"/>
  </r>
  <r>
    <s v="LOG086"/>
    <d v="2026-02-21T00:00:00"/>
    <s v="Saturday"/>
    <x v="3"/>
    <d v="2026-02-01T00:00:00"/>
    <x v="4"/>
    <x v="11"/>
    <n v="4"/>
    <s v="hours"/>
    <s v="Operated"/>
    <x v="0"/>
    <s v="Mixer operation"/>
    <s v="Group"/>
    <n v="0"/>
    <x v="3"/>
    <x v="0"/>
    <n v="0"/>
    <n v="0"/>
    <n v="0"/>
    <n v="0"/>
    <n v="0"/>
  </r>
  <r>
    <s v="LOG087"/>
    <d v="2026-02-21T00:00:00"/>
    <s v="Saturday"/>
    <x v="3"/>
    <d v="2026-02-01T00:00:00"/>
    <x v="4"/>
    <x v="12"/>
    <n v="3"/>
    <s v="hours"/>
    <s v="Operated"/>
    <x v="0"/>
    <s v="Vibrator operation"/>
    <s v="Group"/>
    <n v="0"/>
    <x v="0"/>
    <x v="3"/>
    <n v="0"/>
    <n v="0"/>
    <n v="0"/>
    <n v="0"/>
    <n v="0"/>
  </r>
  <r>
    <s v="LOG088"/>
    <d v="2026-02-22T00:00:00"/>
    <s v="Sunday"/>
    <x v="3"/>
    <d v="2026-02-01T00:00:00"/>
    <x v="0"/>
    <x v="5"/>
    <n v="40"/>
    <s v="m"/>
    <s v="Completed"/>
    <x v="0"/>
    <s v="Drain repair"/>
    <s v="Group"/>
    <n v="0"/>
    <x v="0"/>
    <x v="0"/>
    <n v="0"/>
    <n v="32000"/>
    <n v="0"/>
    <n v="0"/>
    <n v="0"/>
  </r>
  <r>
    <s v="LOG089"/>
    <d v="2026-02-22T00:00:00"/>
    <s v="Sunday"/>
    <x v="3"/>
    <d v="2026-02-01T00:00:00"/>
    <x v="3"/>
    <x v="13"/>
    <n v="50"/>
    <s v="m"/>
    <s v="Used"/>
    <x v="0"/>
    <s v="Wall casting"/>
    <s v="Group"/>
    <n v="0"/>
    <x v="0"/>
    <x v="0"/>
    <n v="0"/>
    <n v="0"/>
    <n v="0"/>
    <n v="50000"/>
    <n v="0"/>
  </r>
  <r>
    <s v="LOG090"/>
    <d v="2026-02-22T00:00:00"/>
    <s v="Sunday"/>
    <x v="3"/>
    <d v="2026-02-01T00:00:00"/>
    <x v="3"/>
    <x v="9"/>
    <n v="35"/>
    <s v="bags"/>
    <s v="Used"/>
    <x v="0"/>
    <s v="Wall casting"/>
    <s v="Group"/>
    <n v="0"/>
    <x v="0"/>
    <x v="0"/>
    <n v="0"/>
    <n v="0"/>
    <n v="0"/>
    <n v="0"/>
    <n v="0"/>
  </r>
  <r>
    <s v="LOG091"/>
    <d v="2026-02-22T00:00:00"/>
    <s v="Sunday"/>
    <x v="3"/>
    <d v="2026-02-01T00:00:00"/>
    <x v="3"/>
    <x v="10"/>
    <n v="14"/>
    <s v="trips"/>
    <s v="Used"/>
    <x v="0"/>
    <s v="Wall casting"/>
    <s v="Group"/>
    <n v="0"/>
    <x v="0"/>
    <x v="0"/>
    <n v="0"/>
    <n v="0"/>
    <n v="0"/>
    <n v="0"/>
    <n v="14000"/>
  </r>
  <r>
    <s v="LOG092"/>
    <d v="2026-02-22T00:00:00"/>
    <s v="Sunday"/>
    <x v="3"/>
    <d v="2026-02-01T00:00:00"/>
    <x v="3"/>
    <x v="15"/>
    <n v="1"/>
    <s v="trip"/>
    <s v="Used"/>
    <x v="0"/>
    <s v="Aggregate"/>
    <s v="Group"/>
    <n v="0"/>
    <x v="0"/>
    <x v="0"/>
    <n v="0"/>
    <n v="0"/>
    <n v="0"/>
    <n v="0"/>
    <n v="0"/>
  </r>
  <r>
    <s v="LOG093"/>
    <d v="2026-02-22T00:00:00"/>
    <s v="Sunday"/>
    <x v="3"/>
    <d v="2026-02-01T00:00:00"/>
    <x v="3"/>
    <x v="6"/>
    <n v="7"/>
    <s v="nos"/>
    <s v="Produced"/>
    <x v="0"/>
    <s v="Basket production"/>
    <s v="Group"/>
    <n v="0"/>
    <x v="0"/>
    <x v="0"/>
    <n v="0"/>
    <n v="0"/>
    <n v="0"/>
    <n v="0"/>
    <n v="0"/>
  </r>
  <r>
    <s v="LOG094"/>
    <d v="2026-02-22T00:00:00"/>
    <s v="Sunday"/>
    <x v="3"/>
    <d v="2026-02-01T00:00:00"/>
    <x v="1"/>
    <x v="1"/>
    <n v="15000"/>
    <s v="NGN"/>
    <s v="Paid"/>
    <x v="0"/>
    <s v="Labour for wall casting"/>
    <s v="Group"/>
    <n v="15000"/>
    <x v="0"/>
    <x v="0"/>
    <n v="0"/>
    <n v="0"/>
    <n v="0"/>
    <n v="0"/>
    <n v="0"/>
  </r>
  <r>
    <s v="LOG095"/>
    <d v="2026-02-22T00:00:00"/>
    <s v="Sunday"/>
    <x v="3"/>
    <d v="2026-02-01T00:00:00"/>
    <x v="4"/>
    <x v="11"/>
    <n v="7"/>
    <s v="hours"/>
    <s v="Operated"/>
    <x v="0"/>
    <s v="Mixer operation"/>
    <s v="Group"/>
    <n v="0"/>
    <x v="2"/>
    <x v="0"/>
    <n v="0"/>
    <n v="0"/>
    <n v="0"/>
    <n v="0"/>
    <n v="0"/>
  </r>
  <r>
    <s v="LOG096"/>
    <d v="2026-02-22T00:00:00"/>
    <s v="Sunday"/>
    <x v="3"/>
    <d v="2026-02-01T00:00:00"/>
    <x v="4"/>
    <x v="12"/>
    <n v="5"/>
    <s v="hours"/>
    <s v="Operated"/>
    <x v="0"/>
    <s v="Vibrator operation"/>
    <s v="Group"/>
    <n v="0"/>
    <x v="0"/>
    <x v="2"/>
    <n v="0"/>
    <n v="0"/>
    <n v="0"/>
    <n v="0"/>
    <n v="0"/>
  </r>
  <r>
    <s v="LOG097"/>
    <d v="2026-02-23T00:00:00"/>
    <s v="Monday"/>
    <x v="4"/>
    <d v="2026-02-01T00:00:00"/>
    <x v="0"/>
    <x v="5"/>
    <n v="80"/>
    <s v="m"/>
    <s v="Completed"/>
    <x v="0"/>
    <s v="Drain repair"/>
    <s v="Group"/>
    <n v="0"/>
    <x v="0"/>
    <x v="0"/>
    <n v="0"/>
    <n v="64000"/>
    <n v="0"/>
    <n v="0"/>
    <n v="0"/>
  </r>
  <r>
    <s v="LOG098"/>
    <d v="2026-02-23T00:00:00"/>
    <s v="Monday"/>
    <x v="4"/>
    <d v="2026-02-01T00:00:00"/>
    <x v="3"/>
    <x v="8"/>
    <n v="56"/>
    <s v="m"/>
    <s v="Used"/>
    <x v="0"/>
    <s v="Base casting activities"/>
    <s v="Group"/>
    <n v="0"/>
    <x v="0"/>
    <x v="0"/>
    <n v="0"/>
    <n v="0"/>
    <n v="28000"/>
    <n v="0"/>
    <n v="0"/>
  </r>
  <r>
    <s v="LOG099"/>
    <d v="2026-02-23T00:00:00"/>
    <s v="Monday"/>
    <x v="4"/>
    <d v="2026-02-01T00:00:00"/>
    <x v="3"/>
    <x v="9"/>
    <n v="18"/>
    <s v="bags"/>
    <s v="Used"/>
    <x v="0"/>
    <s v="Base casting"/>
    <s v="Group"/>
    <n v="0"/>
    <x v="0"/>
    <x v="0"/>
    <n v="0"/>
    <n v="0"/>
    <n v="0"/>
    <n v="0"/>
    <n v="0"/>
  </r>
  <r>
    <s v="LOG100"/>
    <d v="2026-02-23T00:00:00"/>
    <s v="Monday"/>
    <x v="4"/>
    <d v="2026-02-01T00:00:00"/>
    <x v="3"/>
    <x v="10"/>
    <n v="9"/>
    <s v="trips"/>
    <s v="Used"/>
    <x v="0"/>
    <s v="Base casting"/>
    <s v="Group"/>
    <n v="0"/>
    <x v="0"/>
    <x v="0"/>
    <n v="0"/>
    <n v="0"/>
    <n v="0"/>
    <n v="0"/>
    <n v="9000"/>
  </r>
  <r>
    <s v="LOG101"/>
    <d v="2026-02-23T00:00:00"/>
    <s v="Monday"/>
    <x v="4"/>
    <d v="2026-02-01T00:00:00"/>
    <x v="3"/>
    <x v="15"/>
    <n v="4"/>
    <s v="trips"/>
    <s v="Used"/>
    <x v="0"/>
    <s v="Howo trips"/>
    <s v="Group"/>
    <n v="0"/>
    <x v="0"/>
    <x v="0"/>
    <n v="0"/>
    <n v="0"/>
    <n v="0"/>
    <n v="0"/>
    <n v="0"/>
  </r>
  <r>
    <s v="LOG102"/>
    <d v="2026-02-23T00:00:00"/>
    <s v="Monday"/>
    <x v="4"/>
    <d v="2026-02-01T00:00:00"/>
    <x v="1"/>
    <x v="1"/>
    <n v="12000"/>
    <s v="NGN"/>
    <s v="Paid"/>
    <x v="0"/>
    <s v="Labour for base casting"/>
    <s v="Group"/>
    <n v="12000"/>
    <x v="0"/>
    <x v="0"/>
    <n v="0"/>
    <n v="0"/>
    <n v="0"/>
    <n v="0"/>
    <n v="0"/>
  </r>
  <r>
    <s v="LOG103"/>
    <d v="2026-02-23T00:00:00"/>
    <s v="Monday"/>
    <x v="4"/>
    <d v="2026-02-01T00:00:00"/>
    <x v="4"/>
    <x v="11"/>
    <n v="6"/>
    <s v="hours"/>
    <s v="Operated"/>
    <x v="0"/>
    <s v="Mixer operation"/>
    <s v="Group"/>
    <n v="0"/>
    <x v="1"/>
    <x v="0"/>
    <n v="0"/>
    <n v="0"/>
    <n v="0"/>
    <n v="0"/>
    <n v="0"/>
  </r>
  <r>
    <s v="LOG104"/>
    <d v="2026-02-23T00:00:00"/>
    <s v="Monday"/>
    <x v="4"/>
    <d v="2026-02-01T00:00:00"/>
    <x v="4"/>
    <x v="12"/>
    <n v="4"/>
    <s v="hours"/>
    <s v="Operated"/>
    <x v="0"/>
    <s v="Vibrator operation"/>
    <s v="Group"/>
    <n v="0"/>
    <x v="0"/>
    <x v="1"/>
    <n v="0"/>
    <n v="0"/>
    <n v="0"/>
    <n v="0"/>
    <n v="0"/>
  </r>
  <r>
    <s v="LOG105"/>
    <d v="2026-02-24T00:00:00"/>
    <s v="Tuesday"/>
    <x v="4"/>
    <d v="2026-02-01T00:00:00"/>
    <x v="0"/>
    <x v="5"/>
    <n v="86"/>
    <s v="m"/>
    <s v="Completed"/>
    <x v="0"/>
    <s v="Drain repair"/>
    <s v="Group"/>
    <n v="0"/>
    <x v="0"/>
    <x v="0"/>
    <n v="0"/>
    <n v="68800"/>
    <n v="0"/>
    <n v="0"/>
    <n v="0"/>
  </r>
  <r>
    <s v="LOG106"/>
    <d v="2026-02-24T00:00:00"/>
    <s v="Tuesday"/>
    <x v="4"/>
    <d v="2026-02-01T00:00:00"/>
    <x v="3"/>
    <x v="8"/>
    <n v="7"/>
    <s v="m"/>
    <s v="Used"/>
    <x v="0"/>
    <s v="Base casting activities"/>
    <s v="Group"/>
    <n v="0"/>
    <x v="0"/>
    <x v="0"/>
    <n v="0"/>
    <n v="0"/>
    <n v="3500"/>
    <n v="0"/>
    <n v="0"/>
  </r>
  <r>
    <s v="LOG107"/>
    <d v="2026-02-24T00:00:00"/>
    <s v="Tuesday"/>
    <x v="4"/>
    <d v="2026-02-01T00:00:00"/>
    <x v="3"/>
    <x v="13"/>
    <n v="40"/>
    <s v="m"/>
    <s v="Used"/>
    <x v="0"/>
    <s v="Wall casting"/>
    <s v="Group"/>
    <n v="0"/>
    <x v="0"/>
    <x v="0"/>
    <n v="0"/>
    <n v="0"/>
    <n v="0"/>
    <n v="40000"/>
    <n v="0"/>
  </r>
  <r>
    <s v="LOG108"/>
    <d v="2026-02-24T00:00:00"/>
    <s v="Tuesday"/>
    <x v="4"/>
    <d v="2026-02-01T00:00:00"/>
    <x v="3"/>
    <x v="9"/>
    <n v="26"/>
    <s v="bags"/>
    <s v="Used"/>
    <x v="0"/>
    <s v="Base &amp; wall casting"/>
    <s v="Group"/>
    <n v="0"/>
    <x v="0"/>
    <x v="0"/>
    <n v="0"/>
    <n v="0"/>
    <n v="0"/>
    <n v="0"/>
    <n v="0"/>
  </r>
  <r>
    <s v="LOG109"/>
    <d v="2026-02-24T00:00:00"/>
    <s v="Tuesday"/>
    <x v="4"/>
    <d v="2026-02-01T00:00:00"/>
    <x v="3"/>
    <x v="10"/>
    <n v="15"/>
    <s v="trips"/>
    <s v="Used"/>
    <x v="0"/>
    <s v="Base &amp; wall casting"/>
    <s v="Group"/>
    <n v="0"/>
    <x v="0"/>
    <x v="0"/>
    <n v="0"/>
    <n v="0"/>
    <n v="0"/>
    <n v="0"/>
    <n v="15000"/>
  </r>
  <r>
    <s v="LOG110"/>
    <d v="2026-02-24T00:00:00"/>
    <s v="Tuesday"/>
    <x v="4"/>
    <d v="2026-02-01T00:00:00"/>
    <x v="1"/>
    <x v="1"/>
    <n v="14000"/>
    <s v="NGN"/>
    <s v="Paid"/>
    <x v="0"/>
    <s v="Labour for base &amp; wall"/>
    <s v="Group"/>
    <n v="14000"/>
    <x v="0"/>
    <x v="0"/>
    <n v="0"/>
    <n v="0"/>
    <n v="0"/>
    <n v="0"/>
    <n v="0"/>
  </r>
  <r>
    <s v="LOG111"/>
    <d v="2026-02-24T00:00:00"/>
    <s v="Tuesday"/>
    <x v="4"/>
    <d v="2026-02-01T00:00:00"/>
    <x v="4"/>
    <x v="11"/>
    <n v="7"/>
    <s v="hours"/>
    <s v="Operated"/>
    <x v="0"/>
    <s v="Mixer operation"/>
    <s v="Group"/>
    <n v="0"/>
    <x v="2"/>
    <x v="0"/>
    <n v="0"/>
    <n v="0"/>
    <n v="0"/>
    <n v="0"/>
    <n v="0"/>
  </r>
  <r>
    <s v="LOG112"/>
    <d v="2026-02-24T00:00:00"/>
    <s v="Tuesday"/>
    <x v="4"/>
    <d v="2026-02-01T00:00:00"/>
    <x v="4"/>
    <x v="12"/>
    <n v="5"/>
    <s v="hours"/>
    <s v="Operated"/>
    <x v="0"/>
    <s v="Vibrator operation"/>
    <s v="Group"/>
    <n v="0"/>
    <x v="0"/>
    <x v="2"/>
    <n v="0"/>
    <n v="0"/>
    <n v="0"/>
    <n v="0"/>
    <n v="0"/>
  </r>
  <r>
    <s v="LOG113"/>
    <d v="2026-02-25T00:00:00"/>
    <s v="Wednesday"/>
    <x v="4"/>
    <d v="2026-02-01T00:00:00"/>
    <x v="0"/>
    <x v="5"/>
    <n v="58"/>
    <s v="m"/>
    <s v="Completed"/>
    <x v="0"/>
    <s v="Drain repair"/>
    <s v="Group"/>
    <n v="0"/>
    <x v="0"/>
    <x v="0"/>
    <n v="0"/>
    <n v="46400"/>
    <n v="0"/>
    <n v="0"/>
    <n v="0"/>
  </r>
  <r>
    <s v="LOG114"/>
    <d v="2026-02-25T00:00:00"/>
    <s v="Wednesday"/>
    <x v="4"/>
    <d v="2026-02-01T00:00:00"/>
    <x v="3"/>
    <x v="13"/>
    <n v="56"/>
    <s v="m"/>
    <s v="Used"/>
    <x v="0"/>
    <s v="Wall casting"/>
    <s v="Group"/>
    <n v="0"/>
    <x v="0"/>
    <x v="0"/>
    <n v="0"/>
    <n v="0"/>
    <n v="0"/>
    <n v="56000"/>
    <n v="0"/>
  </r>
  <r>
    <s v="LOG115"/>
    <d v="2026-02-25T00:00:00"/>
    <s v="Wednesday"/>
    <x v="4"/>
    <d v="2026-02-01T00:00:00"/>
    <x v="3"/>
    <x v="9"/>
    <n v="44"/>
    <s v="bags"/>
    <s v="Used"/>
    <x v="0"/>
    <s v="Wall casting"/>
    <s v="Group"/>
    <n v="0"/>
    <x v="0"/>
    <x v="0"/>
    <n v="0"/>
    <n v="0"/>
    <n v="0"/>
    <n v="0"/>
    <n v="0"/>
  </r>
  <r>
    <s v="LOG116"/>
    <d v="2026-02-25T00:00:00"/>
    <s v="Wednesday"/>
    <x v="4"/>
    <d v="2026-02-01T00:00:00"/>
    <x v="3"/>
    <x v="10"/>
    <n v="16"/>
    <s v="trips"/>
    <s v="Used"/>
    <x v="0"/>
    <s v="Wall casting"/>
    <s v="Group"/>
    <n v="0"/>
    <x v="0"/>
    <x v="0"/>
    <n v="0"/>
    <n v="0"/>
    <n v="0"/>
    <n v="0"/>
    <n v="16000"/>
  </r>
  <r>
    <s v="LOG117"/>
    <d v="2026-02-25T00:00:00"/>
    <s v="Wednesday"/>
    <x v="4"/>
    <d v="2026-02-01T00:00:00"/>
    <x v="1"/>
    <x v="1"/>
    <n v="16000"/>
    <s v="NGN"/>
    <s v="Paid"/>
    <x v="0"/>
    <s v="Labour for wall casting"/>
    <s v="Group"/>
    <n v="16000"/>
    <x v="0"/>
    <x v="0"/>
    <n v="0"/>
    <n v="0"/>
    <n v="0"/>
    <n v="0"/>
    <n v="0"/>
  </r>
  <r>
    <s v="LOG118"/>
    <d v="2026-02-25T00:00:00"/>
    <s v="Wednesday"/>
    <x v="4"/>
    <d v="2026-02-01T00:00:00"/>
    <x v="4"/>
    <x v="11"/>
    <n v="7"/>
    <s v="hours"/>
    <s v="Operated"/>
    <x v="0"/>
    <s v="Mixer operation"/>
    <s v="Group"/>
    <n v="0"/>
    <x v="2"/>
    <x v="0"/>
    <n v="0"/>
    <n v="0"/>
    <n v="0"/>
    <n v="0"/>
    <n v="0"/>
  </r>
  <r>
    <s v="LOG119"/>
    <d v="2026-02-25T00:00:00"/>
    <s v="Wednesday"/>
    <x v="4"/>
    <d v="2026-02-01T00:00:00"/>
    <x v="4"/>
    <x v="12"/>
    <n v="5"/>
    <s v="hours"/>
    <s v="Operated"/>
    <x v="0"/>
    <s v="Vibrator operation"/>
    <s v="Group"/>
    <n v="0"/>
    <x v="0"/>
    <x v="2"/>
    <n v="0"/>
    <n v="0"/>
    <n v="0"/>
    <n v="0"/>
    <n v="0"/>
  </r>
  <r>
    <s v="LOG120"/>
    <d v="2026-02-26T00:00:00"/>
    <s v="Thursday"/>
    <x v="4"/>
    <d v="2026-02-01T00:00:00"/>
    <x v="0"/>
    <x v="5"/>
    <n v="0"/>
    <s v="m"/>
    <s v="Completed"/>
    <x v="0"/>
    <s v="No excavation repair"/>
    <s v="Group"/>
    <n v="0"/>
    <x v="0"/>
    <x v="0"/>
    <n v="0"/>
    <n v="0"/>
    <n v="0"/>
    <n v="0"/>
    <n v="0"/>
  </r>
  <r>
    <s v="LOG121"/>
    <d v="2026-02-26T00:00:00"/>
    <s v="Thursday"/>
    <x v="4"/>
    <d v="2026-02-01T00:00:00"/>
    <x v="2"/>
    <x v="16"/>
    <n v="34"/>
    <s v="bags"/>
    <s v="Missing"/>
    <x v="0"/>
    <s v="Store shortage identified"/>
    <s v="Personal"/>
    <n v="0"/>
    <x v="0"/>
    <x v="0"/>
    <n v="0"/>
    <n v="0"/>
    <n v="0"/>
    <n v="0"/>
    <n v="0"/>
  </r>
  <r>
    <s v="LOG122"/>
    <d v="2026-02-26T00:00:00"/>
    <s v="Thursday"/>
    <x v="4"/>
    <d v="2026-02-01T00:00:00"/>
    <x v="3"/>
    <x v="8"/>
    <n v="50"/>
    <s v="m"/>
    <s v="Used"/>
    <x v="0"/>
    <s v="Base casting activities"/>
    <s v="Group"/>
    <n v="0"/>
    <x v="0"/>
    <x v="0"/>
    <n v="0"/>
    <n v="0"/>
    <n v="25000"/>
    <n v="0"/>
    <n v="0"/>
  </r>
  <r>
    <s v="LOG123"/>
    <d v="2026-02-26T00:00:00"/>
    <s v="Thursday"/>
    <x v="4"/>
    <d v="2026-02-01T00:00:00"/>
    <x v="3"/>
    <x v="13"/>
    <n v="50"/>
    <s v="m"/>
    <s v="Used"/>
    <x v="0"/>
    <s v="Wall casting"/>
    <s v="Group"/>
    <n v="0"/>
    <x v="0"/>
    <x v="0"/>
    <n v="0"/>
    <n v="0"/>
    <n v="0"/>
    <n v="50000"/>
    <n v="0"/>
  </r>
  <r>
    <s v="LOG124"/>
    <d v="2026-02-26T00:00:00"/>
    <s v="Thursday"/>
    <x v="4"/>
    <d v="2026-02-01T00:00:00"/>
    <x v="3"/>
    <x v="9"/>
    <n v="32"/>
    <s v="bags"/>
    <s v="Used"/>
    <x v="0"/>
    <s v="Base &amp; wall casting"/>
    <s v="Group"/>
    <n v="0"/>
    <x v="0"/>
    <x v="0"/>
    <n v="0"/>
    <n v="0"/>
    <n v="0"/>
    <n v="0"/>
    <n v="0"/>
  </r>
  <r>
    <s v="LOG125"/>
    <d v="2026-02-26T00:00:00"/>
    <s v="Thursday"/>
    <x v="4"/>
    <d v="2026-02-01T00:00:00"/>
    <x v="3"/>
    <x v="10"/>
    <n v="14"/>
    <s v="trips"/>
    <s v="Used"/>
    <x v="0"/>
    <s v="Base &amp; wall casting"/>
    <s v="Group"/>
    <n v="0"/>
    <x v="0"/>
    <x v="0"/>
    <n v="0"/>
    <n v="0"/>
    <n v="0"/>
    <n v="0"/>
    <n v="14000"/>
  </r>
  <r>
    <s v="LOG126"/>
    <d v="2026-02-26T00:00:00"/>
    <s v="Thursday"/>
    <x v="4"/>
    <d v="2026-02-01T00:00:00"/>
    <x v="1"/>
    <x v="1"/>
    <n v="12000"/>
    <s v="NGN"/>
    <s v="Paid"/>
    <x v="0"/>
    <s v="Labour for base &amp; wall"/>
    <s v="Group"/>
    <n v="12000"/>
    <x v="0"/>
    <x v="0"/>
    <n v="0"/>
    <n v="0"/>
    <n v="0"/>
    <n v="0"/>
    <n v="0"/>
  </r>
  <r>
    <s v="LOG127"/>
    <d v="2026-02-26T00:00:00"/>
    <s v="Thursday"/>
    <x v="4"/>
    <d v="2026-02-01T00:00:00"/>
    <x v="4"/>
    <x v="11"/>
    <n v="6"/>
    <s v="hours"/>
    <s v="Operated"/>
    <x v="0"/>
    <s v="Mixer operation"/>
    <s v="Group"/>
    <n v="0"/>
    <x v="1"/>
    <x v="0"/>
    <n v="0"/>
    <n v="0"/>
    <n v="0"/>
    <n v="0"/>
    <n v="0"/>
  </r>
  <r>
    <s v="LOG128"/>
    <d v="2026-02-26T00:00:00"/>
    <s v="Thursday"/>
    <x v="4"/>
    <d v="2026-02-01T00:00:00"/>
    <x v="4"/>
    <x v="12"/>
    <n v="4"/>
    <s v="hours"/>
    <s v="Operated"/>
    <x v="0"/>
    <s v="Vibrator operation"/>
    <s v="Group"/>
    <n v="0"/>
    <x v="0"/>
    <x v="1"/>
    <n v="0"/>
    <n v="0"/>
    <n v="0"/>
    <n v="0"/>
    <n v="0"/>
  </r>
  <r>
    <s v="LOG129"/>
    <d v="2026-02-27T00:00:00"/>
    <s v="Friday"/>
    <x v="4"/>
    <d v="2026-02-01T00:00:00"/>
    <x v="0"/>
    <x v="5"/>
    <n v="47.5"/>
    <s v="m"/>
    <s v="Completed"/>
    <x v="0"/>
    <s v="Trench repair"/>
    <s v="Group"/>
    <n v="0"/>
    <x v="0"/>
    <x v="0"/>
    <n v="0"/>
    <n v="38000"/>
    <n v="0"/>
    <n v="0"/>
    <n v="0"/>
  </r>
  <r>
    <s v="LOG130"/>
    <d v="2026-02-27T00:00:00"/>
    <s v="Friday"/>
    <x v="4"/>
    <d v="2026-02-01T00:00:00"/>
    <x v="3"/>
    <x v="13"/>
    <n v="41.8"/>
    <s v="m"/>
    <s v="Used"/>
    <x v="0"/>
    <s v="Wall casting"/>
    <s v="Group"/>
    <n v="0"/>
    <x v="0"/>
    <x v="0"/>
    <n v="0"/>
    <n v="0"/>
    <n v="0"/>
    <n v="41800"/>
    <n v="0"/>
  </r>
  <r>
    <s v="LOG131"/>
    <d v="2026-02-27T00:00:00"/>
    <s v="Friday"/>
    <x v="4"/>
    <d v="2026-02-01T00:00:00"/>
    <x v="3"/>
    <x v="9"/>
    <n v="20.5"/>
    <s v="bags"/>
    <s v="Used"/>
    <x v="0"/>
    <s v="Wall casting"/>
    <s v="Group"/>
    <n v="0"/>
    <x v="0"/>
    <x v="0"/>
    <n v="0"/>
    <n v="0"/>
    <n v="0"/>
    <n v="0"/>
    <n v="0"/>
  </r>
  <r>
    <s v="LOG132"/>
    <d v="2026-02-27T00:00:00"/>
    <s v="Friday"/>
    <x v="4"/>
    <d v="2026-02-01T00:00:00"/>
    <x v="3"/>
    <x v="10"/>
    <n v="14"/>
    <s v="trips"/>
    <s v="Used"/>
    <x v="0"/>
    <s v="Wall casting"/>
    <s v="Group"/>
    <n v="0"/>
    <x v="0"/>
    <x v="0"/>
    <n v="0"/>
    <n v="0"/>
    <n v="0"/>
    <n v="0"/>
    <n v="14000"/>
  </r>
  <r>
    <s v="LOG133"/>
    <d v="2026-02-27T00:00:00"/>
    <s v="Friday"/>
    <x v="4"/>
    <d v="2026-02-01T00:00:00"/>
    <x v="1"/>
    <x v="1"/>
    <n v="12000"/>
    <s v="NGN"/>
    <s v="Paid"/>
    <x v="0"/>
    <s v="Labour for wall casting"/>
    <s v="Group"/>
    <n v="12000"/>
    <x v="0"/>
    <x v="0"/>
    <n v="0"/>
    <n v="0"/>
    <n v="0"/>
    <n v="0"/>
    <n v="0"/>
  </r>
  <r>
    <s v="LOG134"/>
    <d v="2026-02-27T00:00:00"/>
    <s v="Friday"/>
    <x v="4"/>
    <d v="2026-02-01T00:00:00"/>
    <x v="4"/>
    <x v="11"/>
    <n v="6"/>
    <s v="hours"/>
    <s v="Operated"/>
    <x v="0"/>
    <s v="Mixer operation"/>
    <s v="Group"/>
    <n v="0"/>
    <x v="1"/>
    <x v="0"/>
    <n v="0"/>
    <n v="0"/>
    <n v="0"/>
    <n v="0"/>
    <n v="0"/>
  </r>
  <r>
    <s v="LOG135"/>
    <d v="2026-02-27T00:00:00"/>
    <s v="Friday"/>
    <x v="4"/>
    <d v="2026-02-01T00:00:00"/>
    <x v="4"/>
    <x v="12"/>
    <n v="4"/>
    <s v="hours"/>
    <s v="Operated"/>
    <x v="0"/>
    <s v="Vibrator operation"/>
    <s v="Group"/>
    <n v="0"/>
    <x v="0"/>
    <x v="1"/>
    <n v="0"/>
    <n v="0"/>
    <n v="0"/>
    <n v="0"/>
    <n v="0"/>
  </r>
  <r>
    <s v="LOG136"/>
    <d v="2026-02-28T00:00:00"/>
    <s v="Saturday"/>
    <x v="4"/>
    <d v="2026-02-01T00:00:00"/>
    <x v="3"/>
    <x v="13"/>
    <n v="80"/>
    <s v="m"/>
    <s v="Used"/>
    <x v="0"/>
    <s v="Wall casting"/>
    <s v="Group"/>
    <n v="0"/>
    <x v="0"/>
    <x v="0"/>
    <n v="0"/>
    <n v="0"/>
    <n v="0"/>
    <n v="80000"/>
    <n v="0"/>
  </r>
  <r>
    <s v="LOG137"/>
    <d v="2026-02-28T00:00:00"/>
    <s v="Saturday"/>
    <x v="4"/>
    <d v="2026-02-01T00:00:00"/>
    <x v="3"/>
    <x v="9"/>
    <n v="38.5"/>
    <s v="bags"/>
    <s v="Used"/>
    <x v="0"/>
    <s v="Wall casting"/>
    <s v="Group"/>
    <n v="0"/>
    <x v="0"/>
    <x v="0"/>
    <n v="0"/>
    <n v="0"/>
    <n v="0"/>
    <n v="0"/>
    <n v="0"/>
  </r>
  <r>
    <s v="LOG138"/>
    <d v="2026-02-28T00:00:00"/>
    <s v="Saturday"/>
    <x v="4"/>
    <d v="2026-02-01T00:00:00"/>
    <x v="3"/>
    <x v="10"/>
    <n v="22"/>
    <s v="trips"/>
    <s v="Used"/>
    <x v="0"/>
    <s v="Wall casting"/>
    <s v="Group"/>
    <n v="0"/>
    <x v="0"/>
    <x v="0"/>
    <n v="0"/>
    <n v="0"/>
    <n v="0"/>
    <n v="0"/>
    <n v="22000"/>
  </r>
  <r>
    <s v="LOG139"/>
    <d v="2026-02-28T00:00:00"/>
    <s v="Saturday"/>
    <x v="4"/>
    <d v="2026-02-01T00:00:00"/>
    <x v="1"/>
    <x v="1"/>
    <n v="18000"/>
    <s v="NGN"/>
    <s v="Paid"/>
    <x v="0"/>
    <s v="Labour for wall casting"/>
    <s v="Group"/>
    <n v="18000"/>
    <x v="0"/>
    <x v="0"/>
    <n v="0"/>
    <n v="0"/>
    <n v="0"/>
    <n v="0"/>
    <n v="0"/>
  </r>
  <r>
    <s v="LOG140"/>
    <d v="2026-02-28T00:00:00"/>
    <s v="Saturday"/>
    <x v="4"/>
    <d v="2026-02-01T00:00:00"/>
    <x v="4"/>
    <x v="11"/>
    <n v="7"/>
    <s v="hours"/>
    <s v="Operated"/>
    <x v="0"/>
    <s v="Mixer operation"/>
    <s v="Group"/>
    <n v="0"/>
    <x v="2"/>
    <x v="0"/>
    <n v="0"/>
    <n v="0"/>
    <n v="0"/>
    <n v="0"/>
    <n v="0"/>
  </r>
  <r>
    <s v="LOG141"/>
    <d v="2026-02-28T00:00:00"/>
    <s v="Saturday"/>
    <x v="4"/>
    <d v="2026-02-01T00:00:00"/>
    <x v="4"/>
    <x v="12"/>
    <n v="5"/>
    <s v="hours"/>
    <s v="Operated"/>
    <x v="0"/>
    <s v="Vibrator operation"/>
    <s v="Group"/>
    <n v="0"/>
    <x v="0"/>
    <x v="2"/>
    <n v="0"/>
    <n v="0"/>
    <n v="0"/>
    <n v="0"/>
    <n v="0"/>
  </r>
  <r>
    <s v="LOG142"/>
    <d v="2026-03-01T00:00:00"/>
    <s v="Sunday"/>
    <x v="4"/>
    <d v="2026-03-01T00:00:00"/>
    <x v="0"/>
    <x v="5"/>
    <n v="13"/>
    <s v="m"/>
    <s v="Completed"/>
    <x v="0"/>
    <s v="Trench repair"/>
    <s v="Group"/>
    <n v="0"/>
    <x v="0"/>
    <x v="0"/>
    <n v="0"/>
    <n v="10400"/>
    <n v="0"/>
    <n v="0"/>
    <n v="0"/>
  </r>
  <r>
    <s v="LOG143"/>
    <d v="2026-03-01T00:00:00"/>
    <s v="Sunday"/>
    <x v="4"/>
    <d v="2026-03-01T00:00:00"/>
    <x v="3"/>
    <x v="13"/>
    <n v="34"/>
    <s v="m"/>
    <s v="Used"/>
    <x v="0"/>
    <s v="Wall casting"/>
    <s v="Group"/>
    <n v="0"/>
    <x v="0"/>
    <x v="0"/>
    <n v="0"/>
    <n v="0"/>
    <n v="0"/>
    <n v="34000"/>
    <n v="0"/>
  </r>
  <r>
    <s v="LOG144"/>
    <d v="2026-03-01T00:00:00"/>
    <s v="Sunday"/>
    <x v="4"/>
    <d v="2026-03-01T00:00:00"/>
    <x v="3"/>
    <x v="9"/>
    <n v="13.5"/>
    <s v="bags"/>
    <s v="Used"/>
    <x v="0"/>
    <s v="Wall casting"/>
    <s v="Group"/>
    <n v="0"/>
    <x v="0"/>
    <x v="0"/>
    <n v="0"/>
    <n v="0"/>
    <n v="0"/>
    <n v="0"/>
    <n v="0"/>
  </r>
  <r>
    <s v="LOG145"/>
    <d v="2026-03-01T00:00:00"/>
    <s v="Sunday"/>
    <x v="4"/>
    <d v="2026-03-01T00:00:00"/>
    <x v="3"/>
    <x v="10"/>
    <n v="10"/>
    <s v="trips"/>
    <s v="Used"/>
    <x v="0"/>
    <s v="Wall casting"/>
    <s v="Group"/>
    <n v="0"/>
    <x v="0"/>
    <x v="0"/>
    <n v="0"/>
    <n v="0"/>
    <n v="0"/>
    <n v="0"/>
    <n v="10000"/>
  </r>
  <r>
    <s v="LOG146"/>
    <d v="2026-03-01T00:00:00"/>
    <s v="Sunday"/>
    <x v="4"/>
    <d v="2026-03-01T00:00:00"/>
    <x v="1"/>
    <x v="1"/>
    <n v="10000"/>
    <s v="NGN"/>
    <s v="Paid"/>
    <x v="0"/>
    <s v="Labour for wall casting"/>
    <s v="Group"/>
    <n v="10000"/>
    <x v="0"/>
    <x v="0"/>
    <n v="0"/>
    <n v="0"/>
    <n v="0"/>
    <n v="0"/>
    <n v="0"/>
  </r>
  <r>
    <s v="LOG147"/>
    <d v="2026-03-01T00:00:00"/>
    <s v="Sunday"/>
    <x v="4"/>
    <d v="2026-03-01T00:00:00"/>
    <x v="4"/>
    <x v="11"/>
    <n v="5"/>
    <s v="hours"/>
    <s v="Operated"/>
    <x v="0"/>
    <s v="Mixer operation"/>
    <s v="Group"/>
    <n v="0"/>
    <x v="4"/>
    <x v="0"/>
    <n v="0"/>
    <n v="0"/>
    <n v="0"/>
    <n v="0"/>
    <n v="0"/>
  </r>
  <r>
    <s v="LOG148"/>
    <d v="2026-03-01T00:00:00"/>
    <s v="Sunday"/>
    <x v="4"/>
    <d v="2026-03-01T00:00:00"/>
    <x v="4"/>
    <x v="12"/>
    <n v="3"/>
    <s v="hours"/>
    <s v="Operated"/>
    <x v="0"/>
    <s v="Vibrator operation"/>
    <s v="Group"/>
    <n v="0"/>
    <x v="0"/>
    <x v="3"/>
    <n v="0"/>
    <n v="0"/>
    <n v="0"/>
    <n v="0"/>
    <n v="0"/>
  </r>
  <r>
    <s v="LOG149"/>
    <d v="2026-03-02T00:00:00"/>
    <s v="Monday"/>
    <x v="5"/>
    <d v="2026-03-01T00:00:00"/>
    <x v="0"/>
    <x v="5"/>
    <n v="50"/>
    <s v="m"/>
    <s v="Completed"/>
    <x v="0"/>
    <s v="Trench repair"/>
    <s v="Group"/>
    <n v="0"/>
    <x v="0"/>
    <x v="0"/>
    <n v="0"/>
    <n v="40000"/>
    <n v="0"/>
    <n v="0"/>
    <n v="0"/>
  </r>
  <r>
    <s v="LOG150"/>
    <d v="2026-03-02T00:00:00"/>
    <s v="Monday"/>
    <x v="5"/>
    <d v="2026-03-01T00:00:00"/>
    <x v="3"/>
    <x v="13"/>
    <n v="41"/>
    <s v="m"/>
    <s v="Used"/>
    <x v="0"/>
    <s v="Wall casting"/>
    <s v="Group"/>
    <n v="0"/>
    <x v="0"/>
    <x v="0"/>
    <n v="0"/>
    <n v="0"/>
    <n v="0"/>
    <n v="41000"/>
    <n v="0"/>
  </r>
  <r>
    <s v="LOG151"/>
    <d v="2026-03-02T00:00:00"/>
    <s v="Monday"/>
    <x v="5"/>
    <d v="2026-03-01T00:00:00"/>
    <x v="3"/>
    <x v="9"/>
    <n v="26"/>
    <s v="bags"/>
    <s v="Used"/>
    <x v="0"/>
    <s v="Wall casting"/>
    <s v="Group"/>
    <n v="0"/>
    <x v="0"/>
    <x v="0"/>
    <n v="0"/>
    <n v="0"/>
    <n v="0"/>
    <n v="0"/>
    <n v="0"/>
  </r>
  <r>
    <s v="LOG152"/>
    <d v="2026-03-02T00:00:00"/>
    <s v="Monday"/>
    <x v="5"/>
    <d v="2026-03-01T00:00:00"/>
    <x v="3"/>
    <x v="10"/>
    <n v="19"/>
    <s v="trips"/>
    <s v="Used"/>
    <x v="0"/>
    <s v="Wall casting"/>
    <s v="Group"/>
    <n v="0"/>
    <x v="0"/>
    <x v="0"/>
    <n v="0"/>
    <n v="0"/>
    <n v="0"/>
    <n v="0"/>
    <n v="19000"/>
  </r>
  <r>
    <s v="LOG153"/>
    <d v="2026-03-02T00:00:00"/>
    <s v="Monday"/>
    <x v="5"/>
    <d v="2026-03-01T00:00:00"/>
    <x v="3"/>
    <x v="15"/>
    <n v="1"/>
    <s v="trip"/>
    <s v="Used"/>
    <x v="0"/>
    <s v="Aggregate"/>
    <s v="Group"/>
    <n v="0"/>
    <x v="0"/>
    <x v="0"/>
    <n v="0"/>
    <n v="0"/>
    <n v="0"/>
    <n v="0"/>
    <n v="0"/>
  </r>
  <r>
    <s v="LOG154"/>
    <d v="2026-03-02T00:00:00"/>
    <s v="Monday"/>
    <x v="5"/>
    <d v="2026-03-01T00:00:00"/>
    <x v="3"/>
    <x v="14"/>
    <n v="1"/>
    <s v="trip"/>
    <s v="Used"/>
    <x v="0"/>
    <s v="Pickup"/>
    <s v="Group"/>
    <n v="0"/>
    <x v="0"/>
    <x v="0"/>
    <n v="0"/>
    <n v="0"/>
    <n v="0"/>
    <n v="0"/>
    <n v="0"/>
  </r>
  <r>
    <s v="LOG155"/>
    <d v="2026-03-02T00:00:00"/>
    <s v="Monday"/>
    <x v="5"/>
    <d v="2026-03-01T00:00:00"/>
    <x v="1"/>
    <x v="1"/>
    <n v="14000"/>
    <s v="NGN"/>
    <s v="Paid"/>
    <x v="0"/>
    <s v="Labour for wall casting"/>
    <s v="Group"/>
    <n v="14000"/>
    <x v="0"/>
    <x v="0"/>
    <n v="0"/>
    <n v="0"/>
    <n v="0"/>
    <n v="0"/>
    <n v="0"/>
  </r>
  <r>
    <s v="LOG156"/>
    <d v="2026-03-02T00:00:00"/>
    <s v="Monday"/>
    <x v="5"/>
    <d v="2026-03-01T00:00:00"/>
    <x v="4"/>
    <x v="11"/>
    <n v="6"/>
    <s v="hours"/>
    <s v="Operated"/>
    <x v="0"/>
    <s v="Mixer operation"/>
    <s v="Group"/>
    <n v="0"/>
    <x v="1"/>
    <x v="0"/>
    <n v="0"/>
    <n v="0"/>
    <n v="0"/>
    <n v="0"/>
    <n v="0"/>
  </r>
  <r>
    <s v="LOG157"/>
    <d v="2026-03-02T00:00:00"/>
    <s v="Monday"/>
    <x v="5"/>
    <d v="2026-03-01T00:00:00"/>
    <x v="4"/>
    <x v="12"/>
    <n v="4"/>
    <s v="hours"/>
    <s v="Operated"/>
    <x v="0"/>
    <s v="Vibrator operation"/>
    <s v="Group"/>
    <n v="0"/>
    <x v="0"/>
    <x v="1"/>
    <n v="0"/>
    <n v="0"/>
    <n v="0"/>
    <n v="0"/>
    <n v="0"/>
  </r>
  <r>
    <s v="LOG158"/>
    <d v="2026-03-03T00:00:00"/>
    <s v="Tuesday"/>
    <x v="5"/>
    <d v="2026-03-01T00:00:00"/>
    <x v="0"/>
    <x v="5"/>
    <n v="40"/>
    <s v="m"/>
    <s v="Completed"/>
    <x v="0"/>
    <s v="Trench repair"/>
    <s v="Group"/>
    <n v="0"/>
    <x v="0"/>
    <x v="0"/>
    <n v="0"/>
    <n v="32000"/>
    <n v="0"/>
    <n v="0"/>
    <n v="0"/>
  </r>
  <r>
    <s v="LOG159"/>
    <d v="2026-03-03T00:00:00"/>
    <s v="Tuesday"/>
    <x v="5"/>
    <d v="2026-03-01T00:00:00"/>
    <x v="3"/>
    <x v="13"/>
    <n v="22"/>
    <s v="m"/>
    <s v="Used"/>
    <x v="0"/>
    <s v="Wall casting &amp; access slab"/>
    <s v="Group"/>
    <n v="0"/>
    <x v="0"/>
    <x v="0"/>
    <n v="0"/>
    <n v="0"/>
    <n v="0"/>
    <n v="22000"/>
    <n v="0"/>
  </r>
  <r>
    <s v="LOG160"/>
    <d v="2026-03-03T00:00:00"/>
    <s v="Tuesday"/>
    <x v="5"/>
    <d v="2026-03-01T00:00:00"/>
    <x v="3"/>
    <x v="9"/>
    <n v="17"/>
    <s v="bags"/>
    <s v="Used"/>
    <x v="0"/>
    <s v="Wall casting &amp; access slab"/>
    <s v="Group"/>
    <n v="0"/>
    <x v="0"/>
    <x v="0"/>
    <n v="0"/>
    <n v="0"/>
    <n v="0"/>
    <n v="0"/>
    <n v="0"/>
  </r>
  <r>
    <s v="LOG161"/>
    <d v="2026-03-03T00:00:00"/>
    <s v="Tuesday"/>
    <x v="5"/>
    <d v="2026-03-01T00:00:00"/>
    <x v="3"/>
    <x v="10"/>
    <n v="9"/>
    <s v="trips"/>
    <s v="Used"/>
    <x v="0"/>
    <s v="Wall casting"/>
    <s v="Group"/>
    <n v="0"/>
    <x v="0"/>
    <x v="0"/>
    <n v="0"/>
    <n v="0"/>
    <n v="0"/>
    <n v="0"/>
    <n v="9000"/>
  </r>
  <r>
    <s v="LOG162"/>
    <d v="2026-03-03T00:00:00"/>
    <s v="Tuesday"/>
    <x v="5"/>
    <d v="2026-03-01T00:00:00"/>
    <x v="1"/>
    <x v="1"/>
    <n v="10000"/>
    <s v="NGN"/>
    <s v="Paid"/>
    <x v="0"/>
    <s v="Labour for wall casting"/>
    <s v="Group"/>
    <n v="10000"/>
    <x v="0"/>
    <x v="0"/>
    <n v="0"/>
    <n v="0"/>
    <n v="0"/>
    <n v="0"/>
    <n v="0"/>
  </r>
  <r>
    <s v="LOG163"/>
    <d v="2026-03-03T00:00:00"/>
    <s v="Tuesday"/>
    <x v="5"/>
    <d v="2026-03-01T00:00:00"/>
    <x v="4"/>
    <x v="11"/>
    <n v="5"/>
    <s v="hours"/>
    <s v="Operated"/>
    <x v="0"/>
    <s v="Mixer operation"/>
    <s v="Group"/>
    <n v="0"/>
    <x v="4"/>
    <x v="0"/>
    <n v="0"/>
    <n v="0"/>
    <n v="0"/>
    <n v="0"/>
    <n v="0"/>
  </r>
  <r>
    <s v="LOG164"/>
    <d v="2026-03-03T00:00:00"/>
    <s v="Tuesday"/>
    <x v="5"/>
    <d v="2026-03-01T00:00:00"/>
    <x v="4"/>
    <x v="12"/>
    <n v="3"/>
    <s v="hours"/>
    <s v="Operated"/>
    <x v="0"/>
    <s v="Vibrator operation"/>
    <s v="Group"/>
    <n v="0"/>
    <x v="0"/>
    <x v="3"/>
    <n v="0"/>
    <n v="0"/>
    <n v="0"/>
    <n v="0"/>
    <n v="0"/>
  </r>
  <r>
    <s v="LOG165"/>
    <d v="2026-03-03T00:00:00"/>
    <s v="Tuesday"/>
    <x v="5"/>
    <d v="2026-03-01T00:00:00"/>
    <x v="5"/>
    <x v="0"/>
    <n v="20.399999999999999"/>
    <s v="m"/>
    <s v="Completed"/>
    <x v="1"/>
    <s v="Engineer reconciliation (add)"/>
    <s v="Group"/>
    <n v="0"/>
    <x v="0"/>
    <x v="0"/>
    <n v="0"/>
    <n v="20400"/>
    <n v="0"/>
    <n v="0"/>
    <n v="0"/>
  </r>
  <r>
    <s v="LOG166"/>
    <d v="2026-03-04T00:00:00"/>
    <s v="Wednesday"/>
    <x v="5"/>
    <d v="2026-03-01T00:00:00"/>
    <x v="0"/>
    <x v="5"/>
    <n v="98"/>
    <s v="m"/>
    <s v="Completed"/>
    <x v="1"/>
    <s v="Trench repair"/>
    <s v="Group"/>
    <n v="0"/>
    <x v="0"/>
    <x v="0"/>
    <n v="0"/>
    <n v="98000"/>
    <n v="0"/>
    <n v="0"/>
    <n v="0"/>
  </r>
  <r>
    <s v="LOG167"/>
    <d v="2026-03-04T00:00:00"/>
    <s v="Wednesday"/>
    <x v="5"/>
    <d v="2026-03-01T00:00:00"/>
    <x v="3"/>
    <x v="8"/>
    <n v="95.5"/>
    <s v="m"/>
    <s v="Used"/>
    <x v="1"/>
    <s v="Base casting activities"/>
    <s v="Group"/>
    <n v="0"/>
    <x v="0"/>
    <x v="0"/>
    <n v="0"/>
    <n v="0"/>
    <n v="47750"/>
    <n v="0"/>
    <n v="0"/>
  </r>
  <r>
    <s v="LOG168"/>
    <d v="2026-03-04T00:00:00"/>
    <s v="Wednesday"/>
    <x v="5"/>
    <d v="2026-03-01T00:00:00"/>
    <x v="3"/>
    <x v="9"/>
    <n v="21"/>
    <s v="bags"/>
    <s v="Used"/>
    <x v="1"/>
    <s v="Base casting"/>
    <s v="Group"/>
    <n v="0"/>
    <x v="0"/>
    <x v="0"/>
    <n v="0"/>
    <n v="0"/>
    <n v="0"/>
    <n v="0"/>
    <n v="0"/>
  </r>
  <r>
    <s v="LOG169"/>
    <d v="2026-03-04T00:00:00"/>
    <s v="Wednesday"/>
    <x v="5"/>
    <d v="2026-03-01T00:00:00"/>
    <x v="3"/>
    <x v="10"/>
    <n v="15"/>
    <s v="trips"/>
    <s v="Used"/>
    <x v="1"/>
    <s v="Base casting"/>
    <s v="Group"/>
    <n v="0"/>
    <x v="0"/>
    <x v="0"/>
    <n v="0"/>
    <n v="0"/>
    <n v="0"/>
    <n v="0"/>
    <n v="15000"/>
  </r>
  <r>
    <s v="LOG170"/>
    <d v="2026-03-04T00:00:00"/>
    <s v="Wednesday"/>
    <x v="5"/>
    <d v="2026-03-01T00:00:00"/>
    <x v="3"/>
    <x v="14"/>
    <n v="3"/>
    <s v="trips"/>
    <s v="Used"/>
    <x v="1"/>
    <s v="Howo"/>
    <s v="Group"/>
    <n v="0"/>
    <x v="0"/>
    <x v="0"/>
    <n v="0"/>
    <n v="0"/>
    <n v="0"/>
    <n v="0"/>
    <n v="0"/>
  </r>
  <r>
    <s v="LOG171"/>
    <d v="2026-03-04T00:00:00"/>
    <s v="Wednesday"/>
    <x v="5"/>
    <d v="2026-03-01T00:00:00"/>
    <x v="1"/>
    <x v="1"/>
    <n v="18000"/>
    <s v="NGN"/>
    <s v="Paid"/>
    <x v="1"/>
    <s v="Labour for base casting"/>
    <s v="Group"/>
    <n v="18000"/>
    <x v="0"/>
    <x v="0"/>
    <n v="0"/>
    <n v="0"/>
    <n v="0"/>
    <n v="0"/>
    <n v="0"/>
  </r>
  <r>
    <s v="LOG172"/>
    <d v="2026-03-04T00:00:00"/>
    <s v="Wednesday"/>
    <x v="5"/>
    <d v="2026-03-01T00:00:00"/>
    <x v="4"/>
    <x v="11"/>
    <n v="7"/>
    <s v="hours"/>
    <s v="Operated"/>
    <x v="1"/>
    <s v="Mixer operation"/>
    <s v="Group"/>
    <n v="0"/>
    <x v="2"/>
    <x v="0"/>
    <n v="0"/>
    <n v="0"/>
    <n v="0"/>
    <n v="0"/>
    <n v="0"/>
  </r>
  <r>
    <s v="LOG173"/>
    <d v="2026-03-04T00:00:00"/>
    <s v="Wednesday"/>
    <x v="5"/>
    <d v="2026-03-01T00:00:00"/>
    <x v="4"/>
    <x v="12"/>
    <n v="5"/>
    <s v="hours"/>
    <s v="Operated"/>
    <x v="1"/>
    <s v="Vibrator operation"/>
    <s v="Group"/>
    <n v="0"/>
    <x v="0"/>
    <x v="2"/>
    <n v="0"/>
    <n v="0"/>
    <n v="0"/>
    <n v="0"/>
    <n v="0"/>
  </r>
  <r>
    <s v="LOG174"/>
    <d v="2026-03-05T00:00:00"/>
    <s v="Thursday"/>
    <x v="5"/>
    <d v="2026-03-01T00:00:00"/>
    <x v="0"/>
    <x v="5"/>
    <n v="4"/>
    <s v="m"/>
    <s v="Completed"/>
    <x v="1"/>
    <s v="Trench repair"/>
    <s v="Group"/>
    <n v="0"/>
    <x v="0"/>
    <x v="0"/>
    <n v="0"/>
    <n v="4000"/>
    <n v="0"/>
    <n v="0"/>
    <n v="0"/>
  </r>
  <r>
    <s v="LOG175"/>
    <d v="2026-03-05T00:00:00"/>
    <s v="Thursday"/>
    <x v="5"/>
    <d v="2026-03-01T00:00:00"/>
    <x v="3"/>
    <x v="8"/>
    <n v="116.5"/>
    <s v="m"/>
    <s v="Used"/>
    <x v="1"/>
    <s v="Base casting activities"/>
    <s v="Group"/>
    <n v="0"/>
    <x v="0"/>
    <x v="0"/>
    <n v="0"/>
    <n v="0"/>
    <n v="58250"/>
    <n v="0"/>
    <n v="0"/>
  </r>
  <r>
    <s v="LOG176"/>
    <d v="2026-03-05T00:00:00"/>
    <s v="Thursday"/>
    <x v="5"/>
    <d v="2026-03-01T00:00:00"/>
    <x v="3"/>
    <x v="9"/>
    <n v="19.5"/>
    <s v="bags"/>
    <s v="Used"/>
    <x v="1"/>
    <s v="Base casting"/>
    <s v="Group"/>
    <n v="0"/>
    <x v="0"/>
    <x v="0"/>
    <n v="0"/>
    <n v="0"/>
    <n v="0"/>
    <n v="0"/>
    <n v="0"/>
  </r>
  <r>
    <s v="LOG177"/>
    <d v="2026-03-05T00:00:00"/>
    <s v="Thursday"/>
    <x v="5"/>
    <d v="2026-03-01T00:00:00"/>
    <x v="3"/>
    <x v="10"/>
    <n v="15"/>
    <s v="trips"/>
    <s v="Used"/>
    <x v="1"/>
    <s v="Base casting"/>
    <s v="Group"/>
    <n v="0"/>
    <x v="0"/>
    <x v="0"/>
    <n v="0"/>
    <n v="0"/>
    <n v="0"/>
    <n v="0"/>
    <n v="15000"/>
  </r>
  <r>
    <s v="LOG178"/>
    <d v="2026-03-05T00:00:00"/>
    <s v="Thursday"/>
    <x v="5"/>
    <d v="2026-03-01T00:00:00"/>
    <x v="1"/>
    <x v="1"/>
    <n v="20000"/>
    <s v="NGN"/>
    <s v="Paid"/>
    <x v="1"/>
    <s v="Labour for base casting"/>
    <s v="Group"/>
    <n v="20000"/>
    <x v="0"/>
    <x v="0"/>
    <n v="0"/>
    <n v="0"/>
    <n v="0"/>
    <n v="0"/>
    <n v="0"/>
  </r>
  <r>
    <s v="LOG179"/>
    <d v="2026-03-05T00:00:00"/>
    <s v="Thursday"/>
    <x v="5"/>
    <d v="2026-03-01T00:00:00"/>
    <x v="4"/>
    <x v="11"/>
    <n v="7"/>
    <s v="hours"/>
    <s v="Operated"/>
    <x v="1"/>
    <s v="Mixer operation"/>
    <s v="Group"/>
    <n v="0"/>
    <x v="2"/>
    <x v="0"/>
    <n v="0"/>
    <n v="0"/>
    <n v="0"/>
    <n v="0"/>
    <n v="0"/>
  </r>
  <r>
    <s v="LOG180"/>
    <d v="2026-03-05T00:00:00"/>
    <s v="Thursday"/>
    <x v="5"/>
    <d v="2026-03-01T00:00:00"/>
    <x v="4"/>
    <x v="12"/>
    <n v="5"/>
    <s v="hours"/>
    <s v="Operated"/>
    <x v="1"/>
    <s v="Vibrator operation"/>
    <s v="Group"/>
    <n v="0"/>
    <x v="0"/>
    <x v="2"/>
    <n v="0"/>
    <n v="0"/>
    <n v="0"/>
    <n v="0"/>
    <n v="0"/>
  </r>
  <r>
    <s v="LOG181"/>
    <d v="2026-03-06T00:00:00"/>
    <s v="Friday"/>
    <x v="5"/>
    <d v="2026-03-01T00:00:00"/>
    <x v="2"/>
    <x v="7"/>
    <n v="500"/>
    <s v="bags"/>
    <s v="Delivered"/>
    <x v="1"/>
    <s v="Additional cement delivery"/>
    <s v="Group"/>
    <n v="0"/>
    <x v="0"/>
    <x v="0"/>
    <n v="0"/>
    <n v="0"/>
    <n v="0"/>
    <n v="0"/>
    <n v="0"/>
  </r>
  <r>
    <s v="LOG182"/>
    <d v="2026-03-06T00:00:00"/>
    <s v="Friday"/>
    <x v="5"/>
    <d v="2026-03-01T00:00:00"/>
    <x v="2"/>
    <x v="16"/>
    <n v="2"/>
    <s v="bags"/>
    <s v="Missing"/>
    <x v="1"/>
    <s v="Stolen cement"/>
    <s v="Personal"/>
    <n v="0"/>
    <x v="0"/>
    <x v="0"/>
    <n v="0"/>
    <n v="0"/>
    <n v="0"/>
    <n v="0"/>
    <n v="0"/>
  </r>
  <r>
    <s v="LOG183"/>
    <d v="2026-03-06T00:00:00"/>
    <s v="Friday"/>
    <x v="5"/>
    <d v="2026-03-01T00:00:00"/>
    <x v="3"/>
    <x v="8"/>
    <n v="120"/>
    <s v="m"/>
    <s v="Used"/>
    <x v="1"/>
    <s v="Base casting activities"/>
    <s v="Group"/>
    <n v="0"/>
    <x v="0"/>
    <x v="0"/>
    <n v="0"/>
    <n v="0"/>
    <n v="60000"/>
    <n v="0"/>
    <n v="0"/>
  </r>
  <r>
    <s v="LOG184"/>
    <d v="2026-03-06T00:00:00"/>
    <s v="Friday"/>
    <x v="5"/>
    <d v="2026-03-01T00:00:00"/>
    <x v="3"/>
    <x v="9"/>
    <n v="22"/>
    <s v="bags"/>
    <s v="Used"/>
    <x v="1"/>
    <s v="Base casting"/>
    <s v="Group"/>
    <n v="0"/>
    <x v="0"/>
    <x v="0"/>
    <n v="0"/>
    <n v="0"/>
    <n v="0"/>
    <n v="0"/>
    <n v="0"/>
  </r>
  <r>
    <s v="LOG185"/>
    <d v="2026-03-06T00:00:00"/>
    <s v="Friday"/>
    <x v="5"/>
    <d v="2026-03-01T00:00:00"/>
    <x v="3"/>
    <x v="10"/>
    <n v="18"/>
    <s v="trips"/>
    <s v="Used"/>
    <x v="1"/>
    <s v="Base casting"/>
    <s v="Group"/>
    <n v="0"/>
    <x v="0"/>
    <x v="0"/>
    <n v="0"/>
    <n v="0"/>
    <n v="0"/>
    <n v="0"/>
    <n v="18000"/>
  </r>
  <r>
    <s v="LOG186"/>
    <d v="2026-03-06T00:00:00"/>
    <s v="Friday"/>
    <x v="5"/>
    <d v="2026-03-01T00:00:00"/>
    <x v="1"/>
    <x v="1"/>
    <n v="20000"/>
    <s v="NGN"/>
    <s v="Paid"/>
    <x v="1"/>
    <s v="Labour for base casting"/>
    <s v="Group"/>
    <n v="20000"/>
    <x v="0"/>
    <x v="0"/>
    <n v="0"/>
    <n v="0"/>
    <n v="0"/>
    <n v="0"/>
    <n v="0"/>
  </r>
  <r>
    <s v="LOG187"/>
    <d v="2026-03-06T00:00:00"/>
    <s v="Friday"/>
    <x v="5"/>
    <d v="2026-03-01T00:00:00"/>
    <x v="4"/>
    <x v="11"/>
    <n v="7"/>
    <s v="hours"/>
    <s v="Operated"/>
    <x v="1"/>
    <s v="Mixer operation"/>
    <s v="Group"/>
    <n v="0"/>
    <x v="2"/>
    <x v="0"/>
    <n v="0"/>
    <n v="0"/>
    <n v="0"/>
    <n v="0"/>
    <n v="0"/>
  </r>
  <r>
    <s v="LOG188"/>
    <d v="2026-03-06T00:00:00"/>
    <s v="Friday"/>
    <x v="5"/>
    <d v="2026-03-01T00:00:00"/>
    <x v="4"/>
    <x v="12"/>
    <n v="5"/>
    <s v="hours"/>
    <s v="Operated"/>
    <x v="1"/>
    <s v="Vibrator operation"/>
    <s v="Group"/>
    <n v="0"/>
    <x v="0"/>
    <x v="2"/>
    <n v="0"/>
    <n v="0"/>
    <n v="0"/>
    <n v="0"/>
    <n v="0"/>
  </r>
  <r>
    <s v="LOG189"/>
    <d v="2026-03-07T00:00:00"/>
    <s v="Saturday"/>
    <x v="5"/>
    <d v="2026-03-01T00:00:00"/>
    <x v="3"/>
    <x v="13"/>
    <n v="57"/>
    <s v="m"/>
    <s v="Used"/>
    <x v="1"/>
    <s v="Wall casting"/>
    <s v="Group"/>
    <n v="0"/>
    <x v="0"/>
    <x v="0"/>
    <n v="0"/>
    <n v="0"/>
    <n v="0"/>
    <n v="57000"/>
    <n v="0"/>
  </r>
  <r>
    <s v="LOG190"/>
    <d v="2026-03-07T00:00:00"/>
    <s v="Saturday"/>
    <x v="5"/>
    <d v="2026-03-01T00:00:00"/>
    <x v="3"/>
    <x v="9"/>
    <n v="30"/>
    <s v="bags"/>
    <s v="Used"/>
    <x v="1"/>
    <s v="Wall casting"/>
    <s v="Group"/>
    <n v="0"/>
    <x v="0"/>
    <x v="0"/>
    <n v="0"/>
    <n v="0"/>
    <n v="0"/>
    <n v="0"/>
    <n v="0"/>
  </r>
  <r>
    <s v="LOG191"/>
    <d v="2026-03-07T00:00:00"/>
    <s v="Saturday"/>
    <x v="5"/>
    <d v="2026-03-01T00:00:00"/>
    <x v="3"/>
    <x v="10"/>
    <n v="22"/>
    <s v="trips"/>
    <s v="Used"/>
    <x v="1"/>
    <s v="Wall casting"/>
    <s v="Group"/>
    <n v="0"/>
    <x v="0"/>
    <x v="0"/>
    <n v="0"/>
    <n v="0"/>
    <n v="0"/>
    <n v="0"/>
    <n v="22000"/>
  </r>
  <r>
    <s v="LOG192"/>
    <d v="2026-03-07T00:00:00"/>
    <s v="Saturday"/>
    <x v="5"/>
    <d v="2026-03-01T00:00:00"/>
    <x v="1"/>
    <x v="1"/>
    <n v="16000"/>
    <s v="NGN"/>
    <s v="Paid"/>
    <x v="1"/>
    <s v="Labour for wall casting"/>
    <s v="Group"/>
    <n v="16000"/>
    <x v="0"/>
    <x v="0"/>
    <n v="0"/>
    <n v="0"/>
    <n v="0"/>
    <n v="0"/>
    <n v="0"/>
  </r>
  <r>
    <s v="LOG193"/>
    <d v="2026-03-07T00:00:00"/>
    <s v="Saturday"/>
    <x v="5"/>
    <d v="2026-03-01T00:00:00"/>
    <x v="4"/>
    <x v="11"/>
    <n v="7"/>
    <s v="hours"/>
    <s v="Operated"/>
    <x v="1"/>
    <s v="Mixer operation"/>
    <s v="Group"/>
    <n v="0"/>
    <x v="2"/>
    <x v="0"/>
    <n v="0"/>
    <n v="0"/>
    <n v="0"/>
    <n v="0"/>
    <n v="0"/>
  </r>
  <r>
    <s v="LOG194"/>
    <d v="2026-03-07T00:00:00"/>
    <s v="Saturday"/>
    <x v="5"/>
    <d v="2026-03-01T00:00:00"/>
    <x v="4"/>
    <x v="12"/>
    <n v="5"/>
    <s v="hours"/>
    <s v="Operated"/>
    <x v="1"/>
    <s v="Vibrator operation"/>
    <s v="Group"/>
    <n v="0"/>
    <x v="0"/>
    <x v="2"/>
    <n v="0"/>
    <n v="0"/>
    <n v="0"/>
    <n v="0"/>
    <n v="0"/>
  </r>
  <r>
    <s v="LOG195"/>
    <d v="2026-03-08T00:00:00"/>
    <s v="Sunday"/>
    <x v="5"/>
    <d v="2026-03-01T00:00:00"/>
    <x v="3"/>
    <x v="13"/>
    <n v="63"/>
    <s v="m"/>
    <s v="Used"/>
    <x v="1"/>
    <s v="Wall casting"/>
    <s v="Group"/>
    <n v="0"/>
    <x v="0"/>
    <x v="0"/>
    <n v="0"/>
    <n v="0"/>
    <n v="0"/>
    <n v="63000"/>
    <n v="0"/>
  </r>
  <r>
    <s v="LOG196"/>
    <d v="2026-03-08T00:00:00"/>
    <s v="Sunday"/>
    <x v="5"/>
    <d v="2026-03-01T00:00:00"/>
    <x v="3"/>
    <x v="9"/>
    <n v="30.5"/>
    <s v="bags"/>
    <s v="Used"/>
    <x v="1"/>
    <s v="Wall casting"/>
    <s v="Group"/>
    <n v="0"/>
    <x v="0"/>
    <x v="0"/>
    <n v="0"/>
    <n v="0"/>
    <n v="0"/>
    <n v="0"/>
    <n v="0"/>
  </r>
  <r>
    <s v="LOG197"/>
    <d v="2026-03-08T00:00:00"/>
    <s v="Sunday"/>
    <x v="5"/>
    <d v="2026-03-01T00:00:00"/>
    <x v="3"/>
    <x v="10"/>
    <n v="21"/>
    <s v="trips"/>
    <s v="Used"/>
    <x v="1"/>
    <s v="Wall casting"/>
    <s v="Group"/>
    <n v="0"/>
    <x v="0"/>
    <x v="0"/>
    <n v="0"/>
    <n v="0"/>
    <n v="0"/>
    <n v="0"/>
    <n v="21000"/>
  </r>
  <r>
    <s v="LOG198"/>
    <d v="2026-03-08T00:00:00"/>
    <s v="Sunday"/>
    <x v="5"/>
    <d v="2026-03-01T00:00:00"/>
    <x v="1"/>
    <x v="1"/>
    <n v="18000"/>
    <s v="NGN"/>
    <s v="Paid"/>
    <x v="1"/>
    <s v="Labour for wall casting"/>
    <s v="Group"/>
    <n v="18000"/>
    <x v="0"/>
    <x v="0"/>
    <n v="0"/>
    <n v="0"/>
    <n v="0"/>
    <n v="0"/>
    <n v="0"/>
  </r>
  <r>
    <s v="LOG199"/>
    <d v="2026-03-08T00:00:00"/>
    <s v="Sunday"/>
    <x v="5"/>
    <d v="2026-03-01T00:00:00"/>
    <x v="4"/>
    <x v="11"/>
    <n v="7"/>
    <s v="hours"/>
    <s v="Operated"/>
    <x v="1"/>
    <s v="Mixer operation"/>
    <s v="Group"/>
    <n v="0"/>
    <x v="2"/>
    <x v="0"/>
    <n v="0"/>
    <n v="0"/>
    <n v="0"/>
    <n v="0"/>
    <n v="0"/>
  </r>
  <r>
    <s v="LOG200"/>
    <d v="2026-03-08T00:00:00"/>
    <s v="Sunday"/>
    <x v="5"/>
    <d v="2026-03-01T00:00:00"/>
    <x v="4"/>
    <x v="12"/>
    <n v="5"/>
    <s v="hours"/>
    <s v="Operated"/>
    <x v="1"/>
    <s v="Vibrator operation"/>
    <s v="Group"/>
    <n v="0"/>
    <x v="0"/>
    <x v="2"/>
    <n v="0"/>
    <n v="0"/>
    <n v="0"/>
    <n v="0"/>
    <n v="0"/>
  </r>
  <r>
    <s v="LOG201"/>
    <d v="2026-03-09T00:00:00"/>
    <s v="Monday"/>
    <x v="6"/>
    <d v="2026-03-01T00:00:00"/>
    <x v="0"/>
    <x v="5"/>
    <n v="35"/>
    <s v="m"/>
    <s v="Completed"/>
    <x v="1"/>
    <s v="Trench repair"/>
    <s v="Group"/>
    <n v="0"/>
    <x v="0"/>
    <x v="0"/>
    <n v="0"/>
    <n v="35000"/>
    <n v="0"/>
    <n v="0"/>
    <n v="0"/>
  </r>
  <r>
    <s v="LOG202"/>
    <d v="2026-03-09T00:00:00"/>
    <s v="Monday"/>
    <x v="6"/>
    <d v="2026-03-01T00:00:00"/>
    <x v="0"/>
    <x v="0"/>
    <n v="13"/>
    <s v="m"/>
    <s v="Completed"/>
    <x v="1"/>
    <s v="New excavation"/>
    <s v="Group"/>
    <n v="0"/>
    <x v="0"/>
    <x v="0"/>
    <n v="0"/>
    <n v="13000"/>
    <n v="0"/>
    <n v="0"/>
    <n v="0"/>
  </r>
  <r>
    <s v="LOG203"/>
    <d v="2026-03-09T00:00:00"/>
    <s v="Monday"/>
    <x v="6"/>
    <d v="2026-03-01T00:00:00"/>
    <x v="3"/>
    <x v="13"/>
    <n v="60.8"/>
    <s v="m"/>
    <s v="Used"/>
    <x v="1"/>
    <s v="Wall casting"/>
    <s v="Group"/>
    <n v="0"/>
    <x v="0"/>
    <x v="0"/>
    <n v="0"/>
    <n v="0"/>
    <n v="0"/>
    <n v="60800"/>
    <n v="0"/>
  </r>
  <r>
    <s v="LOG204"/>
    <d v="2026-03-09T00:00:00"/>
    <s v="Monday"/>
    <x v="6"/>
    <d v="2026-03-01T00:00:00"/>
    <x v="3"/>
    <x v="9"/>
    <n v="28.5"/>
    <s v="bags"/>
    <s v="Used"/>
    <x v="1"/>
    <s v="Wall casting"/>
    <s v="Group"/>
    <n v="0"/>
    <x v="0"/>
    <x v="0"/>
    <n v="0"/>
    <n v="0"/>
    <n v="0"/>
    <n v="0"/>
    <n v="0"/>
  </r>
  <r>
    <s v="LOG205"/>
    <d v="2026-03-09T00:00:00"/>
    <s v="Monday"/>
    <x v="6"/>
    <d v="2026-03-01T00:00:00"/>
    <x v="3"/>
    <x v="10"/>
    <n v="18"/>
    <s v="trips"/>
    <s v="Used"/>
    <x v="1"/>
    <s v="Wall casting"/>
    <s v="Group"/>
    <n v="0"/>
    <x v="0"/>
    <x v="0"/>
    <n v="0"/>
    <n v="0"/>
    <n v="0"/>
    <n v="0"/>
    <n v="18000"/>
  </r>
  <r>
    <s v="LOG206"/>
    <d v="2026-03-09T00:00:00"/>
    <s v="Monday"/>
    <x v="6"/>
    <d v="2026-03-01T00:00:00"/>
    <x v="3"/>
    <x v="14"/>
    <n v="3"/>
    <s v="trips"/>
    <s v="Used"/>
    <x v="1"/>
    <s v="Pickup"/>
    <s v="Group"/>
    <n v="0"/>
    <x v="0"/>
    <x v="0"/>
    <n v="0"/>
    <n v="0"/>
    <n v="0"/>
    <n v="0"/>
    <n v="0"/>
  </r>
  <r>
    <s v="LOG207"/>
    <d v="2026-03-09T00:00:00"/>
    <s v="Monday"/>
    <x v="6"/>
    <d v="2026-03-01T00:00:00"/>
    <x v="1"/>
    <x v="1"/>
    <n v="16000"/>
    <s v="NGN"/>
    <s v="Paid"/>
    <x v="1"/>
    <s v="Labour for wall casting"/>
    <s v="Group"/>
    <n v="16000"/>
    <x v="0"/>
    <x v="0"/>
    <n v="0"/>
    <n v="0"/>
    <n v="0"/>
    <n v="0"/>
    <n v="0"/>
  </r>
  <r>
    <s v="LOG208"/>
    <d v="2026-03-09T00:00:00"/>
    <s v="Monday"/>
    <x v="6"/>
    <d v="2026-03-01T00:00:00"/>
    <x v="4"/>
    <x v="11"/>
    <n v="7"/>
    <s v="hours"/>
    <s v="Operated"/>
    <x v="1"/>
    <s v="Mixer operation"/>
    <s v="Group"/>
    <n v="0"/>
    <x v="2"/>
    <x v="0"/>
    <n v="0"/>
    <n v="0"/>
    <n v="0"/>
    <n v="0"/>
    <n v="0"/>
  </r>
  <r>
    <s v="LOG209"/>
    <d v="2026-03-09T00:00:00"/>
    <s v="Monday"/>
    <x v="6"/>
    <d v="2026-03-01T00:00:00"/>
    <x v="4"/>
    <x v="12"/>
    <n v="5"/>
    <s v="hours"/>
    <s v="Operated"/>
    <x v="1"/>
    <s v="Vibrator operation"/>
    <s v="Group"/>
    <n v="0"/>
    <x v="0"/>
    <x v="2"/>
    <n v="0"/>
    <n v="0"/>
    <n v="0"/>
    <n v="0"/>
    <n v="0"/>
  </r>
  <r>
    <s v="LOG210"/>
    <d v="2026-03-10T00:00:00"/>
    <s v="Tuesday"/>
    <x v="6"/>
    <d v="2026-03-01T00:00:00"/>
    <x v="3"/>
    <x v="8"/>
    <n v="47"/>
    <s v="m"/>
    <s v="Used"/>
    <x v="1"/>
    <s v="Base casting activities"/>
    <s v="Group"/>
    <n v="0"/>
    <x v="0"/>
    <x v="0"/>
    <n v="0"/>
    <n v="0"/>
    <n v="23500"/>
    <n v="0"/>
    <n v="0"/>
  </r>
  <r>
    <s v="LOG211"/>
    <d v="2026-03-10T00:00:00"/>
    <s v="Tuesday"/>
    <x v="6"/>
    <d v="2026-03-01T00:00:00"/>
    <x v="3"/>
    <x v="13"/>
    <n v="31.1"/>
    <s v="m"/>
    <s v="Used"/>
    <x v="1"/>
    <s v="Wall casting"/>
    <s v="Group"/>
    <n v="0"/>
    <x v="0"/>
    <x v="0"/>
    <n v="0"/>
    <n v="0"/>
    <n v="0"/>
    <n v="31100"/>
    <n v="0"/>
  </r>
  <r>
    <s v="LOG212"/>
    <d v="2026-03-10T00:00:00"/>
    <s v="Tuesday"/>
    <x v="6"/>
    <d v="2026-03-01T00:00:00"/>
    <x v="3"/>
    <x v="9"/>
    <n v="27.5"/>
    <s v="bags"/>
    <s v="Used"/>
    <x v="1"/>
    <s v="Wall, base, culvert"/>
    <s v="Group"/>
    <n v="0"/>
    <x v="0"/>
    <x v="0"/>
    <n v="0"/>
    <n v="0"/>
    <n v="0"/>
    <n v="0"/>
    <n v="0"/>
  </r>
  <r>
    <s v="LOG213"/>
    <d v="2026-03-10T00:00:00"/>
    <s v="Tuesday"/>
    <x v="6"/>
    <d v="2026-03-01T00:00:00"/>
    <x v="3"/>
    <x v="10"/>
    <n v="16"/>
    <s v="trips"/>
    <s v="Used"/>
    <x v="1"/>
    <s v="Wall, base, culvert"/>
    <s v="Group"/>
    <n v="0"/>
    <x v="0"/>
    <x v="0"/>
    <n v="0"/>
    <n v="0"/>
    <n v="0"/>
    <n v="0"/>
    <n v="16000"/>
  </r>
  <r>
    <s v="LOG214"/>
    <d v="2026-03-10T00:00:00"/>
    <s v="Tuesday"/>
    <x v="6"/>
    <d v="2026-03-01T00:00:00"/>
    <x v="1"/>
    <x v="1"/>
    <n v="14000"/>
    <s v="NGN"/>
    <s v="Paid"/>
    <x v="1"/>
    <s v="Labour for base &amp; wall"/>
    <s v="Group"/>
    <n v="14000"/>
    <x v="0"/>
    <x v="0"/>
    <n v="0"/>
    <n v="0"/>
    <n v="0"/>
    <n v="0"/>
    <n v="0"/>
  </r>
  <r>
    <s v="LOG215"/>
    <d v="2026-03-10T00:00:00"/>
    <s v="Tuesday"/>
    <x v="6"/>
    <d v="2026-03-01T00:00:00"/>
    <x v="4"/>
    <x v="11"/>
    <n v="6"/>
    <s v="hours"/>
    <s v="Operated"/>
    <x v="1"/>
    <s v="Mixer operation"/>
    <s v="Group"/>
    <n v="0"/>
    <x v="1"/>
    <x v="0"/>
    <n v="0"/>
    <n v="0"/>
    <n v="0"/>
    <n v="0"/>
    <n v="0"/>
  </r>
  <r>
    <s v="LOG216"/>
    <d v="2026-03-10T00:00:00"/>
    <s v="Tuesday"/>
    <x v="6"/>
    <d v="2026-03-01T00:00:00"/>
    <x v="4"/>
    <x v="12"/>
    <n v="4"/>
    <s v="hours"/>
    <s v="Operated"/>
    <x v="1"/>
    <s v="Vibrator operation"/>
    <s v="Group"/>
    <n v="0"/>
    <x v="0"/>
    <x v="1"/>
    <n v="0"/>
    <n v="0"/>
    <n v="0"/>
    <n v="0"/>
    <n v="0"/>
  </r>
  <r>
    <s v="LOG217"/>
    <d v="2026-03-11T00:00:00"/>
    <s v="Wednesday"/>
    <x v="6"/>
    <d v="2026-03-01T00:00:00"/>
    <x v="3"/>
    <x v="13"/>
    <n v="66"/>
    <s v="m"/>
    <s v="Used"/>
    <x v="1"/>
    <s v="Wall casting"/>
    <s v="Group"/>
    <n v="0"/>
    <x v="0"/>
    <x v="0"/>
    <n v="0"/>
    <n v="0"/>
    <n v="0"/>
    <n v="66000"/>
    <n v="0"/>
  </r>
  <r>
    <s v="LOG218"/>
    <d v="2026-03-11T00:00:00"/>
    <s v="Wednesday"/>
    <x v="6"/>
    <d v="2026-03-01T00:00:00"/>
    <x v="3"/>
    <x v="9"/>
    <n v="41"/>
    <s v="bags"/>
    <s v="Used"/>
    <x v="1"/>
    <s v="Wall casting"/>
    <s v="Group"/>
    <n v="0"/>
    <x v="0"/>
    <x v="0"/>
    <n v="0"/>
    <n v="0"/>
    <n v="0"/>
    <n v="0"/>
    <n v="0"/>
  </r>
  <r>
    <s v="LOG219"/>
    <d v="2026-03-11T00:00:00"/>
    <s v="Wednesday"/>
    <x v="6"/>
    <d v="2026-03-01T00:00:00"/>
    <x v="3"/>
    <x v="10"/>
    <n v="22"/>
    <s v="trips"/>
    <s v="Used"/>
    <x v="1"/>
    <s v="Wall casting"/>
    <s v="Group"/>
    <n v="0"/>
    <x v="0"/>
    <x v="0"/>
    <n v="0"/>
    <n v="0"/>
    <n v="0"/>
    <n v="0"/>
    <n v="22000"/>
  </r>
  <r>
    <s v="LOG220"/>
    <d v="2026-03-11T00:00:00"/>
    <s v="Wednesday"/>
    <x v="6"/>
    <d v="2026-03-01T00:00:00"/>
    <x v="1"/>
    <x v="1"/>
    <n v="18000"/>
    <s v="NGN"/>
    <s v="Paid"/>
    <x v="1"/>
    <s v="Labour for wall casting"/>
    <s v="Group"/>
    <n v="18000"/>
    <x v="0"/>
    <x v="0"/>
    <n v="0"/>
    <n v="0"/>
    <n v="0"/>
    <n v="0"/>
    <n v="0"/>
  </r>
  <r>
    <s v="LOG221"/>
    <d v="2026-03-11T00:00:00"/>
    <s v="Wednesday"/>
    <x v="6"/>
    <d v="2026-03-01T00:00:00"/>
    <x v="4"/>
    <x v="11"/>
    <n v="7"/>
    <s v="hours"/>
    <s v="Operated"/>
    <x v="1"/>
    <s v="Mixer operation"/>
    <s v="Group"/>
    <n v="0"/>
    <x v="2"/>
    <x v="0"/>
    <n v="0"/>
    <n v="0"/>
    <n v="0"/>
    <n v="0"/>
    <n v="0"/>
  </r>
  <r>
    <s v="LOG222"/>
    <d v="2026-03-11T00:00:00"/>
    <s v="Wednesday"/>
    <x v="6"/>
    <d v="2026-03-01T00:00:00"/>
    <x v="4"/>
    <x v="12"/>
    <n v="5"/>
    <s v="hours"/>
    <s v="Operated"/>
    <x v="1"/>
    <s v="Vibrator operation"/>
    <s v="Group"/>
    <n v="0"/>
    <x v="0"/>
    <x v="2"/>
    <n v="0"/>
    <n v="0"/>
    <n v="0"/>
    <n v="0"/>
    <n v="0"/>
  </r>
  <r>
    <s v="LOG223"/>
    <d v="2026-03-12T00:00:00"/>
    <s v="Thursday"/>
    <x v="6"/>
    <d v="2026-03-01T00:00:00"/>
    <x v="3"/>
    <x v="8"/>
    <n v="45.5"/>
    <s v="m"/>
    <s v="Used"/>
    <x v="1"/>
    <s v="Base casting activities"/>
    <s v="Group"/>
    <n v="0"/>
    <x v="0"/>
    <x v="0"/>
    <n v="0"/>
    <n v="0"/>
    <n v="22750"/>
    <n v="0"/>
    <n v="0"/>
  </r>
  <r>
    <s v="LOG224"/>
    <d v="2026-03-12T00:00:00"/>
    <s v="Thursday"/>
    <x v="6"/>
    <d v="2026-03-01T00:00:00"/>
    <x v="3"/>
    <x v="9"/>
    <n v="18.5"/>
    <s v="bags"/>
    <s v="Used"/>
    <x v="1"/>
    <s v="Base casting"/>
    <s v="Group"/>
    <n v="0"/>
    <x v="0"/>
    <x v="0"/>
    <n v="0"/>
    <n v="0"/>
    <n v="0"/>
    <n v="0"/>
    <n v="0"/>
  </r>
  <r>
    <s v="LOG225"/>
    <d v="2026-03-12T00:00:00"/>
    <s v="Thursday"/>
    <x v="6"/>
    <d v="2026-03-01T00:00:00"/>
    <x v="3"/>
    <x v="10"/>
    <n v="13"/>
    <s v="trips"/>
    <s v="Used"/>
    <x v="1"/>
    <s v="Base casting"/>
    <s v="Group"/>
    <n v="0"/>
    <x v="0"/>
    <x v="0"/>
    <n v="0"/>
    <n v="0"/>
    <n v="0"/>
    <n v="0"/>
    <n v="13000"/>
  </r>
  <r>
    <s v="LOG226"/>
    <d v="2026-03-12T00:00:00"/>
    <s v="Thursday"/>
    <x v="6"/>
    <d v="2026-03-01T00:00:00"/>
    <x v="1"/>
    <x v="1"/>
    <n v="14000"/>
    <s v="NGN"/>
    <s v="Paid"/>
    <x v="1"/>
    <s v="Labour for base casting"/>
    <s v="Group"/>
    <n v="14000"/>
    <x v="0"/>
    <x v="0"/>
    <n v="0"/>
    <n v="0"/>
    <n v="0"/>
    <n v="0"/>
    <n v="0"/>
  </r>
  <r>
    <s v="LOG227"/>
    <d v="2026-03-12T00:00:00"/>
    <s v="Thursday"/>
    <x v="6"/>
    <d v="2026-03-01T00:00:00"/>
    <x v="4"/>
    <x v="11"/>
    <n v="7"/>
    <s v="hours"/>
    <s v="Operated"/>
    <x v="1"/>
    <s v="Mixer operation"/>
    <s v="Group"/>
    <n v="0"/>
    <x v="2"/>
    <x v="0"/>
    <n v="0"/>
    <n v="0"/>
    <n v="0"/>
    <n v="0"/>
    <n v="0"/>
  </r>
  <r>
    <s v="LOG228"/>
    <d v="2026-03-12T00:00:00"/>
    <s v="Thursday"/>
    <x v="6"/>
    <d v="2026-03-01T00:00:00"/>
    <x v="4"/>
    <x v="12"/>
    <n v="5"/>
    <s v="hours"/>
    <s v="Operated"/>
    <x v="1"/>
    <s v="Vibrator operation"/>
    <s v="Group"/>
    <n v="0"/>
    <x v="0"/>
    <x v="2"/>
    <n v="0"/>
    <n v="0"/>
    <n v="0"/>
    <n v="0"/>
    <n v="0"/>
  </r>
  <r>
    <s v="LOG229"/>
    <d v="2026-03-13T00:00:00"/>
    <s v="Friday"/>
    <x v="6"/>
    <d v="2026-03-01T00:00:00"/>
    <x v="3"/>
    <x v="8"/>
    <n v="57.6"/>
    <s v="m"/>
    <s v="Used"/>
    <x v="1"/>
    <s v="Base casting activities"/>
    <s v="Group"/>
    <n v="0"/>
    <x v="0"/>
    <x v="0"/>
    <n v="0"/>
    <n v="0"/>
    <n v="28800"/>
    <n v="0"/>
    <n v="0"/>
  </r>
  <r>
    <s v="LOG230"/>
    <d v="2026-03-13T00:00:00"/>
    <s v="Friday"/>
    <x v="6"/>
    <d v="2026-03-01T00:00:00"/>
    <x v="3"/>
    <x v="9"/>
    <n v="11.5"/>
    <s v="bags"/>
    <s v="Used"/>
    <x v="1"/>
    <s v="Base casting"/>
    <s v="Group"/>
    <n v="0"/>
    <x v="0"/>
    <x v="0"/>
    <n v="0"/>
    <n v="0"/>
    <n v="0"/>
    <n v="0"/>
    <n v="0"/>
  </r>
  <r>
    <s v="LOG231"/>
    <d v="2026-03-13T00:00:00"/>
    <s v="Friday"/>
    <x v="6"/>
    <d v="2026-03-01T00:00:00"/>
    <x v="3"/>
    <x v="10"/>
    <n v="9"/>
    <s v="trips"/>
    <s v="Used"/>
    <x v="1"/>
    <s v="Base casting"/>
    <s v="Group"/>
    <n v="0"/>
    <x v="0"/>
    <x v="0"/>
    <n v="0"/>
    <n v="0"/>
    <n v="0"/>
    <n v="0"/>
    <n v="9000"/>
  </r>
  <r>
    <s v="LOG232"/>
    <d v="2026-03-13T00:00:00"/>
    <s v="Friday"/>
    <x v="6"/>
    <d v="2026-03-01T00:00:00"/>
    <x v="1"/>
    <x v="1"/>
    <n v="10000"/>
    <s v="NGN"/>
    <s v="Paid"/>
    <x v="1"/>
    <s v="Labour for base casting"/>
    <s v="Group"/>
    <n v="10000"/>
    <x v="0"/>
    <x v="0"/>
    <n v="0"/>
    <n v="0"/>
    <n v="0"/>
    <n v="0"/>
    <n v="0"/>
  </r>
  <r>
    <s v="LOG233"/>
    <d v="2026-03-13T00:00:00"/>
    <s v="Friday"/>
    <x v="6"/>
    <d v="2026-03-01T00:00:00"/>
    <x v="4"/>
    <x v="11"/>
    <n v="6"/>
    <s v="hours"/>
    <s v="Operated"/>
    <x v="1"/>
    <s v="Mixer operation"/>
    <s v="Group"/>
    <n v="0"/>
    <x v="1"/>
    <x v="0"/>
    <n v="0"/>
    <n v="0"/>
    <n v="0"/>
    <n v="0"/>
    <n v="0"/>
  </r>
  <r>
    <s v="LOG234"/>
    <d v="2026-03-13T00:00:00"/>
    <s v="Friday"/>
    <x v="6"/>
    <d v="2026-03-01T00:00:00"/>
    <x v="4"/>
    <x v="12"/>
    <n v="4"/>
    <s v="hours"/>
    <s v="Operated"/>
    <x v="1"/>
    <s v="Vibrator operation"/>
    <s v="Group"/>
    <n v="0"/>
    <x v="0"/>
    <x v="1"/>
    <n v="0"/>
    <n v="0"/>
    <n v="0"/>
    <n v="0"/>
    <n v="0"/>
  </r>
  <r>
    <s v="LOG235"/>
    <d v="2026-03-14T00:00:00"/>
    <s v="Saturday"/>
    <x v="6"/>
    <d v="2026-03-01T00:00:00"/>
    <x v="0"/>
    <x v="5"/>
    <n v="4.5"/>
    <s v="m"/>
    <s v="Completed"/>
    <x v="1"/>
    <s v="Culvert trench"/>
    <s v="Group"/>
    <n v="0"/>
    <x v="0"/>
    <x v="0"/>
    <n v="0"/>
    <n v="4500"/>
    <n v="0"/>
    <n v="0"/>
    <n v="0"/>
  </r>
  <r>
    <s v="LOG236"/>
    <d v="2026-03-14T00:00:00"/>
    <s v="Saturday"/>
    <x v="6"/>
    <d v="2026-03-01T00:00:00"/>
    <x v="3"/>
    <x v="8"/>
    <n v="36"/>
    <s v="m"/>
    <s v="Used"/>
    <x v="1"/>
    <s v="Base casting activities"/>
    <s v="Group"/>
    <n v="0"/>
    <x v="0"/>
    <x v="0"/>
    <n v="0"/>
    <n v="0"/>
    <n v="18000"/>
    <n v="0"/>
    <n v="0"/>
  </r>
  <r>
    <s v="LOG237"/>
    <d v="2026-03-14T00:00:00"/>
    <s v="Saturday"/>
    <x v="6"/>
    <d v="2026-03-01T00:00:00"/>
    <x v="3"/>
    <x v="9"/>
    <n v="21.5"/>
    <s v="bags"/>
    <s v="Used"/>
    <x v="1"/>
    <s v="Base &amp; culvert base"/>
    <s v="Group"/>
    <n v="0"/>
    <x v="0"/>
    <x v="0"/>
    <n v="0"/>
    <n v="0"/>
    <n v="0"/>
    <n v="0"/>
    <n v="0"/>
  </r>
  <r>
    <s v="LOG238"/>
    <d v="2026-03-14T00:00:00"/>
    <s v="Saturday"/>
    <x v="6"/>
    <d v="2026-03-01T00:00:00"/>
    <x v="3"/>
    <x v="10"/>
    <n v="11"/>
    <s v="trips"/>
    <s v="Used"/>
    <x v="1"/>
    <s v="Base &amp; culvert base"/>
    <s v="Group"/>
    <n v="0"/>
    <x v="0"/>
    <x v="0"/>
    <n v="0"/>
    <n v="0"/>
    <n v="0"/>
    <n v="0"/>
    <n v="11000"/>
  </r>
  <r>
    <s v="LOG239"/>
    <d v="2026-03-14T00:00:00"/>
    <s v="Saturday"/>
    <x v="6"/>
    <d v="2026-03-01T00:00:00"/>
    <x v="1"/>
    <x v="1"/>
    <n v="12000"/>
    <s v="NGN"/>
    <s v="Paid"/>
    <x v="1"/>
    <s v="Labour for base casting"/>
    <s v="Group"/>
    <n v="12000"/>
    <x v="0"/>
    <x v="0"/>
    <n v="0"/>
    <n v="0"/>
    <n v="0"/>
    <n v="0"/>
    <n v="0"/>
  </r>
  <r>
    <s v="LOG240"/>
    <d v="2026-03-14T00:00:00"/>
    <s v="Saturday"/>
    <x v="6"/>
    <d v="2026-03-01T00:00:00"/>
    <x v="4"/>
    <x v="11"/>
    <n v="5"/>
    <s v="hours"/>
    <s v="Operated"/>
    <x v="1"/>
    <s v="Mixer operation"/>
    <s v="Group"/>
    <n v="0"/>
    <x v="4"/>
    <x v="0"/>
    <n v="0"/>
    <n v="0"/>
    <n v="0"/>
    <n v="0"/>
    <n v="0"/>
  </r>
  <r>
    <s v="LOG241"/>
    <d v="2026-03-14T00:00:00"/>
    <s v="Saturday"/>
    <x v="6"/>
    <d v="2026-03-01T00:00:00"/>
    <x v="4"/>
    <x v="12"/>
    <n v="3"/>
    <s v="hours"/>
    <s v="Operated"/>
    <x v="1"/>
    <s v="Vibrator operation"/>
    <s v="Group"/>
    <n v="0"/>
    <x v="0"/>
    <x v="3"/>
    <n v="0"/>
    <n v="0"/>
    <n v="0"/>
    <n v="0"/>
    <n v="0"/>
  </r>
  <r>
    <s v="LOG242"/>
    <d v="2026-03-15T00:00:00"/>
    <s v="Sunday"/>
    <x v="6"/>
    <d v="2026-03-01T00:00:00"/>
    <x v="3"/>
    <x v="13"/>
    <n v="48.8"/>
    <s v="m"/>
    <s v="Used"/>
    <x v="1"/>
    <s v="Wall casting"/>
    <s v="Group"/>
    <n v="0"/>
    <x v="0"/>
    <x v="0"/>
    <n v="0"/>
    <n v="0"/>
    <n v="0"/>
    <n v="48800"/>
    <n v="0"/>
  </r>
  <r>
    <s v="LOG243"/>
    <d v="2026-03-15T00:00:00"/>
    <s v="Sunday"/>
    <x v="6"/>
    <d v="2026-03-01T00:00:00"/>
    <x v="3"/>
    <x v="9"/>
    <n v="28"/>
    <s v="bags"/>
    <s v="Used"/>
    <x v="1"/>
    <s v="Wall casting"/>
    <s v="Group"/>
    <n v="0"/>
    <x v="0"/>
    <x v="0"/>
    <n v="0"/>
    <n v="0"/>
    <n v="0"/>
    <n v="0"/>
    <n v="0"/>
  </r>
  <r>
    <s v="LOG244"/>
    <d v="2026-03-15T00:00:00"/>
    <s v="Sunday"/>
    <x v="6"/>
    <d v="2026-03-01T00:00:00"/>
    <x v="3"/>
    <x v="10"/>
    <n v="13"/>
    <s v="trips"/>
    <s v="Used"/>
    <x v="1"/>
    <s v="Wall casting"/>
    <s v="Group"/>
    <n v="0"/>
    <x v="0"/>
    <x v="0"/>
    <n v="0"/>
    <n v="0"/>
    <n v="0"/>
    <n v="0"/>
    <n v="13000"/>
  </r>
  <r>
    <s v="LOG245"/>
    <d v="2026-03-15T00:00:00"/>
    <s v="Sunday"/>
    <x v="6"/>
    <d v="2026-03-01T00:00:00"/>
    <x v="3"/>
    <x v="14"/>
    <n v="8"/>
    <s v="trips"/>
    <s v="Used"/>
    <x v="1"/>
    <s v="Pickup"/>
    <s v="Group"/>
    <n v="0"/>
    <x v="0"/>
    <x v="0"/>
    <n v="0"/>
    <n v="0"/>
    <n v="0"/>
    <n v="0"/>
    <n v="0"/>
  </r>
  <r>
    <s v="LOG246"/>
    <d v="2026-03-15T00:00:00"/>
    <s v="Sunday"/>
    <x v="6"/>
    <d v="2026-03-01T00:00:00"/>
    <x v="1"/>
    <x v="1"/>
    <n v="16000"/>
    <s v="NGN"/>
    <s v="Paid"/>
    <x v="1"/>
    <s v="Labour for wall casting"/>
    <s v="Group"/>
    <n v="16000"/>
    <x v="0"/>
    <x v="0"/>
    <n v="0"/>
    <n v="0"/>
    <n v="0"/>
    <n v="0"/>
    <n v="0"/>
  </r>
  <r>
    <s v="LOG247"/>
    <d v="2026-03-15T00:00:00"/>
    <s v="Sunday"/>
    <x v="6"/>
    <d v="2026-03-01T00:00:00"/>
    <x v="4"/>
    <x v="11"/>
    <n v="6"/>
    <s v="hours"/>
    <s v="Operated"/>
    <x v="1"/>
    <s v="Mixer operation"/>
    <s v="Group"/>
    <n v="0"/>
    <x v="1"/>
    <x v="0"/>
    <n v="0"/>
    <n v="0"/>
    <n v="0"/>
    <n v="0"/>
    <n v="0"/>
  </r>
  <r>
    <s v="LOG248"/>
    <d v="2026-03-15T00:00:00"/>
    <s v="Sunday"/>
    <x v="6"/>
    <d v="2026-03-01T00:00:00"/>
    <x v="4"/>
    <x v="12"/>
    <n v="4"/>
    <s v="hours"/>
    <s v="Operated"/>
    <x v="1"/>
    <s v="Vibrator operation"/>
    <s v="Group"/>
    <n v="0"/>
    <x v="0"/>
    <x v="1"/>
    <n v="0"/>
    <n v="0"/>
    <n v="0"/>
    <n v="0"/>
    <n v="0"/>
  </r>
  <r>
    <s v="LOG249"/>
    <d v="2026-03-16T00:00:00"/>
    <s v="Monday"/>
    <x v="7"/>
    <d v="2026-03-01T00:00:00"/>
    <x v="3"/>
    <x v="13"/>
    <n v="27.4"/>
    <s v="m"/>
    <s v="Used"/>
    <x v="1"/>
    <s v="Wall casting"/>
    <s v="Group"/>
    <n v="0"/>
    <x v="0"/>
    <x v="0"/>
    <n v="0"/>
    <n v="0"/>
    <n v="0"/>
    <n v="27400"/>
    <n v="0"/>
  </r>
  <r>
    <s v="LOG250"/>
    <d v="2026-03-16T00:00:00"/>
    <s v="Monday"/>
    <x v="7"/>
    <d v="2026-03-01T00:00:00"/>
    <x v="3"/>
    <x v="9"/>
    <n v="25"/>
    <s v="bags"/>
    <s v="Used"/>
    <x v="1"/>
    <s v="Wall &amp; culvert wall"/>
    <s v="Group"/>
    <n v="0"/>
    <x v="0"/>
    <x v="0"/>
    <n v="0"/>
    <n v="0"/>
    <n v="0"/>
    <n v="0"/>
    <n v="0"/>
  </r>
  <r>
    <s v="LOG251"/>
    <d v="2026-03-16T00:00:00"/>
    <s v="Monday"/>
    <x v="7"/>
    <d v="2026-03-01T00:00:00"/>
    <x v="3"/>
    <x v="10"/>
    <n v="11"/>
    <s v="trips"/>
    <s v="Used"/>
    <x v="1"/>
    <s v="Wall &amp; culvert"/>
    <s v="Group"/>
    <n v="0"/>
    <x v="0"/>
    <x v="0"/>
    <n v="0"/>
    <n v="0"/>
    <n v="0"/>
    <n v="0"/>
    <n v="11000"/>
  </r>
  <r>
    <s v="LOG252"/>
    <d v="2026-03-16T00:00:00"/>
    <s v="Monday"/>
    <x v="7"/>
    <d v="2026-03-01T00:00:00"/>
    <x v="3"/>
    <x v="14"/>
    <n v="3"/>
    <s v="trips"/>
    <s v="Used"/>
    <x v="1"/>
    <s v="Pickup"/>
    <s v="Group"/>
    <n v="0"/>
    <x v="0"/>
    <x v="0"/>
    <n v="0"/>
    <n v="0"/>
    <n v="0"/>
    <n v="0"/>
    <n v="0"/>
  </r>
  <r>
    <s v="LOG253"/>
    <d v="2026-03-16T00:00:00"/>
    <s v="Monday"/>
    <x v="7"/>
    <d v="2026-03-01T00:00:00"/>
    <x v="1"/>
    <x v="1"/>
    <n v="12000"/>
    <s v="NGN"/>
    <s v="Paid"/>
    <x v="1"/>
    <s v="Labour for wall casting"/>
    <s v="Group"/>
    <n v="12000"/>
    <x v="0"/>
    <x v="0"/>
    <n v="0"/>
    <n v="0"/>
    <n v="0"/>
    <n v="0"/>
    <n v="0"/>
  </r>
  <r>
    <s v="LOG254"/>
    <d v="2026-03-16T00:00:00"/>
    <s v="Monday"/>
    <x v="7"/>
    <d v="2026-03-01T00:00:00"/>
    <x v="4"/>
    <x v="11"/>
    <n v="5"/>
    <s v="hours"/>
    <s v="Operated"/>
    <x v="1"/>
    <s v="Mixer operation"/>
    <s v="Group"/>
    <n v="0"/>
    <x v="4"/>
    <x v="0"/>
    <n v="0"/>
    <n v="0"/>
    <n v="0"/>
    <n v="0"/>
    <n v="0"/>
  </r>
  <r>
    <s v="LOG255"/>
    <d v="2026-03-16T00:00:00"/>
    <s v="Monday"/>
    <x v="7"/>
    <d v="2026-03-01T00:00:00"/>
    <x v="4"/>
    <x v="12"/>
    <n v="3"/>
    <s v="hours"/>
    <s v="Operated"/>
    <x v="1"/>
    <s v="Vibrator operation"/>
    <s v="Group"/>
    <n v="0"/>
    <x v="0"/>
    <x v="3"/>
    <n v="0"/>
    <n v="0"/>
    <n v="0"/>
    <n v="0"/>
    <n v="0"/>
  </r>
  <r>
    <s v="LOG256"/>
    <d v="2026-03-17T00:00:00"/>
    <s v="Tuesday"/>
    <x v="7"/>
    <d v="2026-03-01T00:00:00"/>
    <x v="3"/>
    <x v="13"/>
    <n v="20.5"/>
    <s v="m"/>
    <s v="Used"/>
    <x v="1"/>
    <s v="Wall casting"/>
    <s v="Group"/>
    <n v="0"/>
    <x v="0"/>
    <x v="0"/>
    <n v="0"/>
    <n v="0"/>
    <n v="0"/>
    <n v="20500"/>
    <n v="0"/>
  </r>
  <r>
    <s v="LOG257"/>
    <d v="2026-03-17T00:00:00"/>
    <s v="Tuesday"/>
    <x v="7"/>
    <d v="2026-03-01T00:00:00"/>
    <x v="3"/>
    <x v="9"/>
    <n v="28"/>
    <s v="bags"/>
    <s v="Used"/>
    <x v="1"/>
    <s v="Wall &amp; culvert deck"/>
    <s v="Group"/>
    <n v="0"/>
    <x v="0"/>
    <x v="0"/>
    <n v="0"/>
    <n v="0"/>
    <n v="0"/>
    <n v="0"/>
    <n v="0"/>
  </r>
  <r>
    <s v="LOG258"/>
    <d v="2026-03-17T00:00:00"/>
    <s v="Tuesday"/>
    <x v="7"/>
    <d v="2026-03-01T00:00:00"/>
    <x v="3"/>
    <x v="10"/>
    <n v="10"/>
    <s v="trips"/>
    <s v="Used"/>
    <x v="1"/>
    <s v="Wall &amp; culvert"/>
    <s v="Group"/>
    <n v="0"/>
    <x v="0"/>
    <x v="0"/>
    <n v="0"/>
    <n v="0"/>
    <n v="0"/>
    <n v="0"/>
    <n v="10000"/>
  </r>
  <r>
    <s v="LOG259"/>
    <d v="2026-03-17T00:00:00"/>
    <s v="Tuesday"/>
    <x v="7"/>
    <d v="2026-03-01T00:00:00"/>
    <x v="1"/>
    <x v="1"/>
    <n v="12000"/>
    <s v="NGN"/>
    <s v="Paid"/>
    <x v="1"/>
    <s v="Labour for wall casting"/>
    <s v="Group"/>
    <n v="12000"/>
    <x v="0"/>
    <x v="0"/>
    <n v="0"/>
    <n v="0"/>
    <n v="0"/>
    <n v="0"/>
    <n v="0"/>
  </r>
  <r>
    <s v="LOG260"/>
    <d v="2026-03-17T00:00:00"/>
    <s v="Tuesday"/>
    <x v="7"/>
    <d v="2026-03-01T00:00:00"/>
    <x v="4"/>
    <x v="11"/>
    <n v="5"/>
    <s v="hours"/>
    <s v="Operated"/>
    <x v="1"/>
    <s v="Mixer operation"/>
    <s v="Group"/>
    <n v="0"/>
    <x v="4"/>
    <x v="0"/>
    <n v="0"/>
    <n v="0"/>
    <n v="0"/>
    <n v="0"/>
    <n v="0"/>
  </r>
  <r>
    <s v="LOG261"/>
    <d v="2026-03-17T00:00:00"/>
    <s v="Tuesday"/>
    <x v="7"/>
    <d v="2026-03-01T00:00:00"/>
    <x v="4"/>
    <x v="12"/>
    <n v="3"/>
    <s v="hours"/>
    <s v="Operated"/>
    <x v="1"/>
    <s v="Vibrator operation"/>
    <s v="Group"/>
    <n v="0"/>
    <x v="0"/>
    <x v="3"/>
    <n v="0"/>
    <n v="0"/>
    <n v="0"/>
    <n v="0"/>
    <n v="0"/>
  </r>
  <r>
    <s v="LOG262"/>
    <d v="2026-03-28T00:00:00"/>
    <s v="Saturday"/>
    <x v="8"/>
    <d v="2026-03-01T00:00:00"/>
    <x v="3"/>
    <x v="13"/>
    <n v="50.5"/>
    <s v="m"/>
    <s v="Used"/>
    <x v="1"/>
    <s v="Wall casting"/>
    <s v="Group"/>
    <n v="0"/>
    <x v="0"/>
    <x v="0"/>
    <n v="0"/>
    <n v="0"/>
    <n v="0"/>
    <n v="50500"/>
    <n v="0"/>
  </r>
  <r>
    <s v="LOG263"/>
    <d v="2026-03-28T00:00:00"/>
    <s v="Saturday"/>
    <x v="8"/>
    <d v="2026-03-01T00:00:00"/>
    <x v="3"/>
    <x v="9"/>
    <n v="20.5"/>
    <s v="bags"/>
    <s v="Used"/>
    <x v="1"/>
    <s v="Wall casting"/>
    <s v="Group"/>
    <n v="0"/>
    <x v="0"/>
    <x v="0"/>
    <n v="0"/>
    <n v="0"/>
    <n v="0"/>
    <n v="0"/>
    <n v="0"/>
  </r>
  <r>
    <s v="LOG264"/>
    <d v="2026-03-28T00:00:00"/>
    <s v="Saturday"/>
    <x v="8"/>
    <d v="2026-03-01T00:00:00"/>
    <x v="3"/>
    <x v="10"/>
    <n v="15"/>
    <s v="trips"/>
    <s v="Used"/>
    <x v="1"/>
    <s v="Wall casting"/>
    <s v="Group"/>
    <n v="0"/>
    <x v="0"/>
    <x v="0"/>
    <n v="0"/>
    <n v="0"/>
    <n v="0"/>
    <n v="0"/>
    <n v="15000"/>
  </r>
  <r>
    <s v="LOG265"/>
    <d v="2026-03-28T00:00:00"/>
    <s v="Saturday"/>
    <x v="8"/>
    <d v="2026-03-01T00:00:00"/>
    <x v="1"/>
    <x v="1"/>
    <n v="14000"/>
    <s v="NGN"/>
    <s v="Paid"/>
    <x v="1"/>
    <s v="Labour for wall casting"/>
    <s v="Group"/>
    <n v="14000"/>
    <x v="0"/>
    <x v="0"/>
    <n v="0"/>
    <n v="0"/>
    <n v="0"/>
    <n v="0"/>
    <n v="0"/>
  </r>
  <r>
    <s v="LOG266"/>
    <d v="2026-03-28T00:00:00"/>
    <s v="Saturday"/>
    <x v="8"/>
    <d v="2026-03-01T00:00:00"/>
    <x v="4"/>
    <x v="11"/>
    <n v="6"/>
    <s v="hours"/>
    <s v="Operated"/>
    <x v="1"/>
    <s v="Mixer operation"/>
    <s v="Group"/>
    <n v="0"/>
    <x v="1"/>
    <x v="0"/>
    <n v="0"/>
    <n v="0"/>
    <n v="0"/>
    <n v="0"/>
    <n v="0"/>
  </r>
  <r>
    <s v="LOG267"/>
    <d v="2026-03-28T00:00:00"/>
    <s v="Saturday"/>
    <x v="8"/>
    <d v="2026-03-01T00:00:00"/>
    <x v="4"/>
    <x v="12"/>
    <n v="4"/>
    <s v="hours"/>
    <s v="Operated"/>
    <x v="1"/>
    <s v="Vibrator operation"/>
    <s v="Group"/>
    <n v="0"/>
    <x v="0"/>
    <x v="1"/>
    <n v="0"/>
    <n v="0"/>
    <n v="0"/>
    <n v="0"/>
    <n v="0"/>
  </r>
  <r>
    <s v="LOG268"/>
    <d v="2026-03-29T00:00:00"/>
    <s v="Sunday"/>
    <x v="8"/>
    <d v="2026-03-01T00:00:00"/>
    <x v="3"/>
    <x v="13"/>
    <n v="51"/>
    <s v="m"/>
    <s v="Used"/>
    <x v="1"/>
    <s v="Wall casting"/>
    <s v="Group"/>
    <n v="0"/>
    <x v="0"/>
    <x v="0"/>
    <n v="0"/>
    <n v="0"/>
    <n v="0"/>
    <n v="51000"/>
    <n v="0"/>
  </r>
  <r>
    <s v="LOG269"/>
    <d v="2026-03-29T00:00:00"/>
    <s v="Sunday"/>
    <x v="8"/>
    <d v="2026-03-01T00:00:00"/>
    <x v="3"/>
    <x v="9"/>
    <n v="21"/>
    <s v="bags"/>
    <s v="Used"/>
    <x v="1"/>
    <s v="Wall casting"/>
    <s v="Group"/>
    <n v="0"/>
    <x v="0"/>
    <x v="0"/>
    <n v="0"/>
    <n v="0"/>
    <n v="0"/>
    <n v="0"/>
    <n v="0"/>
  </r>
  <r>
    <s v="LOG270"/>
    <d v="2026-03-29T00:00:00"/>
    <s v="Sunday"/>
    <x v="8"/>
    <d v="2026-03-01T00:00:00"/>
    <x v="3"/>
    <x v="10"/>
    <n v="13"/>
    <s v="trips"/>
    <s v="Used"/>
    <x v="1"/>
    <s v="Wall casting"/>
    <s v="Group"/>
    <n v="0"/>
    <x v="0"/>
    <x v="0"/>
    <n v="0"/>
    <n v="0"/>
    <n v="0"/>
    <n v="0"/>
    <n v="13000"/>
  </r>
  <r>
    <s v="LOG271"/>
    <d v="2026-03-29T00:00:00"/>
    <s v="Sunday"/>
    <x v="8"/>
    <d v="2026-03-01T00:00:00"/>
    <x v="1"/>
    <x v="1"/>
    <n v="14000"/>
    <s v="NGN"/>
    <s v="Paid"/>
    <x v="1"/>
    <s v="Labour for wall casting"/>
    <s v="Group"/>
    <n v="14000"/>
    <x v="0"/>
    <x v="0"/>
    <n v="0"/>
    <n v="0"/>
    <n v="0"/>
    <n v="0"/>
    <n v="0"/>
  </r>
  <r>
    <s v="LOG272"/>
    <d v="2026-03-29T00:00:00"/>
    <s v="Sunday"/>
    <x v="8"/>
    <d v="2026-03-01T00:00:00"/>
    <x v="4"/>
    <x v="11"/>
    <n v="6"/>
    <s v="hours"/>
    <s v="Operated"/>
    <x v="1"/>
    <s v="Mixer operation"/>
    <s v="Group"/>
    <n v="0"/>
    <x v="1"/>
    <x v="0"/>
    <n v="0"/>
    <n v="0"/>
    <n v="0"/>
    <n v="0"/>
    <n v="0"/>
  </r>
  <r>
    <s v="LOG273"/>
    <d v="2026-03-29T00:00:00"/>
    <s v="Sunday"/>
    <x v="8"/>
    <d v="2026-03-01T00:00:00"/>
    <x v="4"/>
    <x v="12"/>
    <n v="4"/>
    <s v="hours"/>
    <s v="Operated"/>
    <x v="1"/>
    <s v="Vibrator operation"/>
    <s v="Group"/>
    <n v="0"/>
    <x v="0"/>
    <x v="1"/>
    <n v="0"/>
    <n v="0"/>
    <n v="0"/>
    <n v="0"/>
    <n v="0"/>
  </r>
  <r>
    <s v="LOG274"/>
    <d v="2026-03-30T00:00:00"/>
    <s v="Monday"/>
    <x v="9"/>
    <d v="2026-03-01T00:00:00"/>
    <x v="3"/>
    <x v="13"/>
    <n v="50.2"/>
    <s v="m"/>
    <s v="Used"/>
    <x v="1"/>
    <s v="Wall casting"/>
    <s v="Group"/>
    <n v="0"/>
    <x v="0"/>
    <x v="0"/>
    <n v="0"/>
    <n v="0"/>
    <n v="0"/>
    <n v="50200"/>
    <n v="0"/>
  </r>
  <r>
    <s v="LOG275"/>
    <d v="2026-03-30T00:00:00"/>
    <s v="Monday"/>
    <x v="9"/>
    <d v="2026-03-01T00:00:00"/>
    <x v="3"/>
    <x v="9"/>
    <n v="23.5"/>
    <s v="bags"/>
    <s v="Used"/>
    <x v="1"/>
    <s v="Wall casting"/>
    <s v="Group"/>
    <n v="0"/>
    <x v="0"/>
    <x v="0"/>
    <n v="0"/>
    <n v="0"/>
    <n v="0"/>
    <n v="0"/>
    <n v="0"/>
  </r>
  <r>
    <s v="LOG276"/>
    <d v="2026-03-30T00:00:00"/>
    <s v="Monday"/>
    <x v="9"/>
    <d v="2026-03-01T00:00:00"/>
    <x v="3"/>
    <x v="10"/>
    <n v="15"/>
    <s v="trips"/>
    <s v="Used"/>
    <x v="1"/>
    <s v="Wall casting"/>
    <s v="Group"/>
    <n v="0"/>
    <x v="0"/>
    <x v="0"/>
    <n v="0"/>
    <n v="0"/>
    <n v="0"/>
    <n v="0"/>
    <n v="15000"/>
  </r>
  <r>
    <s v="LOG277"/>
    <d v="2026-03-30T00:00:00"/>
    <s v="Monday"/>
    <x v="9"/>
    <d v="2026-03-01T00:00:00"/>
    <x v="1"/>
    <x v="1"/>
    <n v="14000"/>
    <s v="NGN"/>
    <s v="Paid"/>
    <x v="1"/>
    <s v="Labour for wall casting"/>
    <s v="Group"/>
    <n v="14000"/>
    <x v="0"/>
    <x v="0"/>
    <n v="0"/>
    <n v="0"/>
    <n v="0"/>
    <n v="0"/>
    <n v="0"/>
  </r>
  <r>
    <s v="LOG278"/>
    <d v="2026-03-30T00:00:00"/>
    <s v="Monday"/>
    <x v="9"/>
    <d v="2026-03-01T00:00:00"/>
    <x v="4"/>
    <x v="11"/>
    <n v="6"/>
    <s v="hours"/>
    <s v="Operated"/>
    <x v="1"/>
    <s v="Mixer operation"/>
    <s v="Group"/>
    <n v="0"/>
    <x v="1"/>
    <x v="0"/>
    <n v="0"/>
    <n v="0"/>
    <n v="0"/>
    <n v="0"/>
    <n v="0"/>
  </r>
  <r>
    <s v="LOG279"/>
    <d v="2026-03-30T00:00:00"/>
    <s v="Monday"/>
    <x v="9"/>
    <d v="2026-03-01T00:00:00"/>
    <x v="4"/>
    <x v="12"/>
    <n v="4"/>
    <s v="hours"/>
    <s v="Operated"/>
    <x v="1"/>
    <s v="Vibrator operation"/>
    <s v="Group"/>
    <n v="0"/>
    <x v="0"/>
    <x v="1"/>
    <n v="0"/>
    <n v="0"/>
    <n v="0"/>
    <n v="0"/>
    <n v="0"/>
  </r>
  <r>
    <s v="LOG280"/>
    <d v="2026-03-31T00:00:00"/>
    <s v="Tuesday"/>
    <x v="9"/>
    <d v="2026-03-01T00:00:00"/>
    <x v="0"/>
    <x v="5"/>
    <n v="12"/>
    <s v="m"/>
    <s v="Completed"/>
    <x v="1"/>
    <s v="Trench excavation"/>
    <s v="Group"/>
    <n v="0"/>
    <x v="0"/>
    <x v="0"/>
    <n v="0"/>
    <n v="12000"/>
    <n v="0"/>
    <n v="0"/>
    <n v="0"/>
  </r>
  <r>
    <s v="LOG281"/>
    <d v="2026-03-31T00:00:00"/>
    <s v="Tuesday"/>
    <x v="9"/>
    <d v="2026-03-01T00:00:00"/>
    <x v="3"/>
    <x v="8"/>
    <n v="21.4"/>
    <s v="m"/>
    <s v="Used"/>
    <x v="1"/>
    <s v="Base casting activities"/>
    <s v="Group"/>
    <n v="0"/>
    <x v="0"/>
    <x v="0"/>
    <n v="0"/>
    <n v="0"/>
    <n v="10700"/>
    <n v="0"/>
    <n v="0"/>
  </r>
  <r>
    <s v="LOG282"/>
    <d v="2026-03-31T00:00:00"/>
    <s v="Tuesday"/>
    <x v="9"/>
    <d v="2026-03-01T00:00:00"/>
    <x v="3"/>
    <x v="13"/>
    <n v="50"/>
    <s v="m"/>
    <s v="Used"/>
    <x v="1"/>
    <s v="Wall casting"/>
    <s v="Group"/>
    <n v="0"/>
    <x v="0"/>
    <x v="0"/>
    <n v="0"/>
    <n v="0"/>
    <n v="0"/>
    <n v="50000"/>
    <n v="0"/>
  </r>
  <r>
    <s v="LOG283"/>
    <d v="2026-03-31T00:00:00"/>
    <s v="Tuesday"/>
    <x v="9"/>
    <d v="2026-03-01T00:00:00"/>
    <x v="3"/>
    <x v="9"/>
    <n v="28.5"/>
    <s v="bags"/>
    <s v="Used"/>
    <x v="1"/>
    <s v="Wall &amp; base casting"/>
    <s v="Group"/>
    <n v="0"/>
    <x v="0"/>
    <x v="0"/>
    <n v="0"/>
    <n v="0"/>
    <n v="0"/>
    <n v="0"/>
    <n v="0"/>
  </r>
  <r>
    <s v="LOG284"/>
    <d v="2026-03-31T00:00:00"/>
    <s v="Tuesday"/>
    <x v="9"/>
    <d v="2026-03-01T00:00:00"/>
    <x v="3"/>
    <x v="10"/>
    <n v="15"/>
    <s v="trips"/>
    <s v="Used"/>
    <x v="1"/>
    <s v="Wall &amp; base casting"/>
    <s v="Group"/>
    <n v="0"/>
    <x v="0"/>
    <x v="0"/>
    <n v="0"/>
    <n v="0"/>
    <n v="0"/>
    <n v="0"/>
    <n v="15000"/>
  </r>
  <r>
    <s v="LOG285"/>
    <d v="2026-03-31T00:00:00"/>
    <s v="Tuesday"/>
    <x v="9"/>
    <d v="2026-03-01T00:00:00"/>
    <x v="1"/>
    <x v="1"/>
    <n v="16000"/>
    <s v="NGN"/>
    <s v="Paid"/>
    <x v="1"/>
    <s v="Labour for base &amp; wall"/>
    <s v="Group"/>
    <n v="16000"/>
    <x v="0"/>
    <x v="0"/>
    <n v="0"/>
    <n v="0"/>
    <n v="0"/>
    <n v="0"/>
    <n v="0"/>
  </r>
  <r>
    <s v="LOG286"/>
    <d v="2026-03-31T00:00:00"/>
    <s v="Tuesday"/>
    <x v="9"/>
    <d v="2026-03-01T00:00:00"/>
    <x v="4"/>
    <x v="11"/>
    <n v="6"/>
    <s v="hours"/>
    <s v="Operated"/>
    <x v="1"/>
    <s v="Mixer operation"/>
    <s v="Group"/>
    <n v="0"/>
    <x v="1"/>
    <x v="0"/>
    <n v="0"/>
    <n v="0"/>
    <n v="0"/>
    <n v="0"/>
    <n v="0"/>
  </r>
  <r>
    <s v="LOG287"/>
    <d v="2026-03-31T00:00:00"/>
    <s v="Tuesday"/>
    <x v="9"/>
    <d v="2026-03-01T00:00:00"/>
    <x v="4"/>
    <x v="12"/>
    <n v="4"/>
    <s v="hours"/>
    <s v="Operated"/>
    <x v="1"/>
    <s v="Vibrator operation"/>
    <s v="Group"/>
    <n v="0"/>
    <x v="0"/>
    <x v="1"/>
    <n v="0"/>
    <n v="0"/>
    <n v="0"/>
    <n v="0"/>
    <n v="0"/>
  </r>
  <r>
    <s v="LOG288"/>
    <d v="2026-04-01T00:00:00"/>
    <s v="Wednesday"/>
    <x v="9"/>
    <d v="2026-04-01T00:00:00"/>
    <x v="3"/>
    <x v="13"/>
    <n v="10.4"/>
    <s v="m"/>
    <s v="Used"/>
    <x v="1"/>
    <s v="Wall casting"/>
    <s v="Group"/>
    <n v="0"/>
    <x v="0"/>
    <x v="0"/>
    <n v="0"/>
    <n v="0"/>
    <n v="0"/>
    <n v="10400"/>
    <n v="0"/>
  </r>
  <r>
    <s v="LOG289"/>
    <d v="2026-04-01T00:00:00"/>
    <s v="Wednesday"/>
    <x v="9"/>
    <d v="2026-04-01T00:00:00"/>
    <x v="3"/>
    <x v="9"/>
    <n v="9"/>
    <s v="bags"/>
    <s v="Used"/>
    <x v="1"/>
    <s v="Wall &amp; culvert apron"/>
    <s v="Group"/>
    <n v="0"/>
    <x v="0"/>
    <x v="0"/>
    <n v="0"/>
    <n v="0"/>
    <n v="0"/>
    <n v="0"/>
    <n v="0"/>
  </r>
  <r>
    <s v="LOG290"/>
    <d v="2026-04-01T00:00:00"/>
    <s v="Wednesday"/>
    <x v="9"/>
    <d v="2026-04-01T00:00:00"/>
    <x v="3"/>
    <x v="10"/>
    <n v="5"/>
    <s v="trips"/>
    <s v="Used"/>
    <x v="1"/>
    <s v="Culvert &amp; wall"/>
    <s v="Group"/>
    <n v="0"/>
    <x v="0"/>
    <x v="0"/>
    <n v="0"/>
    <n v="0"/>
    <n v="0"/>
    <n v="0"/>
    <n v="5000"/>
  </r>
  <r>
    <s v="LOG291"/>
    <d v="2026-04-01T00:00:00"/>
    <s v="Wednesday"/>
    <x v="9"/>
    <d v="2026-04-01T00:00:00"/>
    <x v="1"/>
    <x v="1"/>
    <n v="8000"/>
    <s v="NGN"/>
    <s v="Paid"/>
    <x v="1"/>
    <s v="Labour for wall casting"/>
    <s v="Group"/>
    <n v="8000"/>
    <x v="0"/>
    <x v="0"/>
    <n v="0"/>
    <n v="0"/>
    <n v="0"/>
    <n v="0"/>
    <n v="0"/>
  </r>
  <r>
    <s v="LOG292"/>
    <d v="2026-04-01T00:00:00"/>
    <s v="Wednesday"/>
    <x v="9"/>
    <d v="2026-04-01T00:00:00"/>
    <x v="4"/>
    <x v="11"/>
    <n v="4"/>
    <s v="hours"/>
    <s v="Operated"/>
    <x v="1"/>
    <s v="Mixer operation"/>
    <s v="Group"/>
    <n v="0"/>
    <x v="3"/>
    <x v="0"/>
    <n v="0"/>
    <n v="0"/>
    <n v="0"/>
    <n v="0"/>
    <n v="0"/>
  </r>
  <r>
    <s v="LOG293"/>
    <d v="2026-04-01T00:00:00"/>
    <s v="Wednesday"/>
    <x v="9"/>
    <d v="2026-04-01T00:00:00"/>
    <x v="4"/>
    <x v="12"/>
    <n v="3"/>
    <s v="hours"/>
    <s v="Operated"/>
    <x v="1"/>
    <s v="Vibrator operation"/>
    <s v="Group"/>
    <n v="0"/>
    <x v="0"/>
    <x v="3"/>
    <n v="0"/>
    <n v="0"/>
    <n v="0"/>
    <n v="0"/>
    <n v="0"/>
  </r>
  <r>
    <s v="LOG294"/>
    <d v="2026-04-02T00:00:00"/>
    <s v="Thursday"/>
    <x v="9"/>
    <d v="2026-04-01T00:00:00"/>
    <x v="3"/>
    <x v="9"/>
    <n v="13"/>
    <s v="bags"/>
    <s v="Used"/>
    <x v="1"/>
    <s v="Culvert wing wall"/>
    <s v="Group"/>
    <n v="0"/>
    <x v="0"/>
    <x v="0"/>
    <n v="0"/>
    <n v="0"/>
    <n v="0"/>
    <n v="0"/>
    <n v="0"/>
  </r>
  <r>
    <s v="LOG295"/>
    <d v="2026-04-02T00:00:00"/>
    <s v="Thursday"/>
    <x v="9"/>
    <d v="2026-04-01T00:00:00"/>
    <x v="3"/>
    <x v="10"/>
    <n v="6"/>
    <s v="trips"/>
    <s v="Used"/>
    <x v="1"/>
    <s v="Culvert wing wall"/>
    <s v="Group"/>
    <n v="0"/>
    <x v="0"/>
    <x v="0"/>
    <n v="0"/>
    <n v="0"/>
    <n v="0"/>
    <n v="0"/>
    <n v="6000"/>
  </r>
  <r>
    <s v="LOG296"/>
    <d v="2026-04-02T00:00:00"/>
    <s v="Thursday"/>
    <x v="9"/>
    <d v="2026-04-01T00:00:00"/>
    <x v="1"/>
    <x v="1"/>
    <n v="8000"/>
    <s v="NGN"/>
    <s v="Paid"/>
    <x v="1"/>
    <s v="Labour for culvert"/>
    <s v="Group"/>
    <n v="8000"/>
    <x v="0"/>
    <x v="0"/>
    <n v="0"/>
    <n v="0"/>
    <n v="0"/>
    <n v="0"/>
    <n v="0"/>
  </r>
  <r>
    <s v="LOG297"/>
    <d v="2026-04-02T00:00:00"/>
    <s v="Thursday"/>
    <x v="9"/>
    <d v="2026-04-01T00:00:00"/>
    <x v="4"/>
    <x v="11"/>
    <n v="4"/>
    <s v="hours"/>
    <s v="Operated"/>
    <x v="1"/>
    <s v="Mixer operation"/>
    <s v="Group"/>
    <n v="0"/>
    <x v="3"/>
    <x v="0"/>
    <n v="0"/>
    <n v="0"/>
    <n v="0"/>
    <n v="0"/>
    <n v="0"/>
  </r>
  <r>
    <s v="LOG298"/>
    <d v="2026-04-02T00:00:00"/>
    <s v="Thursday"/>
    <x v="9"/>
    <d v="2026-04-01T00:00:00"/>
    <x v="4"/>
    <x v="12"/>
    <n v="3"/>
    <s v="hours"/>
    <s v="Operated"/>
    <x v="1"/>
    <s v="Vibrator operation"/>
    <s v="Group"/>
    <n v="0"/>
    <x v="0"/>
    <x v="3"/>
    <n v="0"/>
    <n v="0"/>
    <n v="0"/>
    <n v="0"/>
    <n v="0"/>
  </r>
  <r>
    <s v="LOG299"/>
    <d v="2026-04-03T00:00:00"/>
    <s v="Friday"/>
    <x v="9"/>
    <d v="2026-04-01T00:00:00"/>
    <x v="3"/>
    <x v="9"/>
    <n v="6.5"/>
    <s v="bags"/>
    <s v="Used"/>
    <x v="1"/>
    <s v="Culvert &amp; slab"/>
    <s v="Group"/>
    <n v="0"/>
    <x v="0"/>
    <x v="0"/>
    <n v="0"/>
    <n v="0"/>
    <n v="0"/>
    <n v="0"/>
    <n v="0"/>
  </r>
  <r>
    <s v="LOG300"/>
    <d v="2026-04-03T00:00:00"/>
    <s v="Friday"/>
    <x v="9"/>
    <d v="2026-04-01T00:00:00"/>
    <x v="3"/>
    <x v="10"/>
    <n v="9"/>
    <s v="trips"/>
    <s v="Used"/>
    <x v="1"/>
    <s v="Culvert &amp; slab"/>
    <s v="Group"/>
    <n v="0"/>
    <x v="0"/>
    <x v="0"/>
    <n v="0"/>
    <n v="0"/>
    <n v="0"/>
    <n v="0"/>
    <n v="9000"/>
  </r>
  <r>
    <s v="LOG301"/>
    <d v="2026-04-03T00:00:00"/>
    <s v="Friday"/>
    <x v="9"/>
    <d v="2026-04-01T00:00:00"/>
    <x v="3"/>
    <x v="14"/>
    <n v="7"/>
    <s v="trips"/>
    <s v="Used"/>
    <x v="1"/>
    <s v="Additional to reach 34 total"/>
    <s v="Group"/>
    <n v="0"/>
    <x v="0"/>
    <x v="0"/>
    <n v="0"/>
    <n v="0"/>
    <n v="0"/>
    <n v="0"/>
    <n v="0"/>
  </r>
  <r>
    <s v="LOG302"/>
    <d v="2026-04-03T00:00:00"/>
    <s v="Friday"/>
    <x v="9"/>
    <d v="2026-04-01T00:00:00"/>
    <x v="1"/>
    <x v="1"/>
    <n v="8000"/>
    <s v="NGN"/>
    <s v="Paid"/>
    <x v="1"/>
    <s v="Labour for culvert"/>
    <s v="Group"/>
    <n v="8000"/>
    <x v="0"/>
    <x v="0"/>
    <n v="0"/>
    <n v="0"/>
    <n v="0"/>
    <n v="0"/>
    <n v="0"/>
  </r>
  <r>
    <s v="LOG303"/>
    <d v="2026-04-03T00:00:00"/>
    <s v="Friday"/>
    <x v="9"/>
    <d v="2026-04-01T00:00:00"/>
    <x v="4"/>
    <x v="11"/>
    <n v="4"/>
    <s v="hours"/>
    <s v="Operated"/>
    <x v="1"/>
    <s v="Mixer operation"/>
    <s v="Group"/>
    <n v="0"/>
    <x v="3"/>
    <x v="0"/>
    <n v="0"/>
    <n v="0"/>
    <n v="0"/>
    <n v="0"/>
    <n v="0"/>
  </r>
  <r>
    <s v="LOG304"/>
    <d v="2026-04-03T00:00:00"/>
    <s v="Friday"/>
    <x v="9"/>
    <d v="2026-04-01T00:00:00"/>
    <x v="4"/>
    <x v="12"/>
    <n v="3"/>
    <s v="hours"/>
    <s v="Operated"/>
    <x v="1"/>
    <s v="Vibrator operation"/>
    <s v="Group"/>
    <n v="0"/>
    <x v="0"/>
    <x v="3"/>
    <n v="0"/>
    <n v="0"/>
    <n v="0"/>
    <n v="0"/>
    <n v="0"/>
  </r>
  <r>
    <s v="LOG305"/>
    <d v="2026-04-04T00:00:00"/>
    <s v="Saturday"/>
    <x v="9"/>
    <d v="2026-04-01T00:00:00"/>
    <x v="3"/>
    <x v="8"/>
    <n v="6"/>
    <s v="m"/>
    <s v="Used"/>
    <x v="1"/>
    <s v="Base casting activities"/>
    <s v="Group"/>
    <n v="0"/>
    <x v="0"/>
    <x v="0"/>
    <n v="0"/>
    <n v="0"/>
    <n v="3000"/>
    <n v="0"/>
    <n v="0"/>
  </r>
  <r>
    <s v="LOG306"/>
    <d v="2026-04-04T00:00:00"/>
    <s v="Saturday"/>
    <x v="9"/>
    <d v="2026-04-01T00:00:00"/>
    <x v="3"/>
    <x v="9"/>
    <n v="11"/>
    <s v="bags"/>
    <s v="Used"/>
    <x v="1"/>
    <s v="Base &amp; maintenance"/>
    <s v="Group"/>
    <n v="0"/>
    <x v="0"/>
    <x v="0"/>
    <n v="0"/>
    <n v="0"/>
    <n v="0"/>
    <n v="0"/>
    <n v="0"/>
  </r>
  <r>
    <s v="LOG307"/>
    <d v="2026-04-04T00:00:00"/>
    <s v="Saturday"/>
    <x v="9"/>
    <d v="2026-04-01T00:00:00"/>
    <x v="3"/>
    <x v="10"/>
    <n v="4"/>
    <s v="trips"/>
    <s v="Used"/>
    <x v="1"/>
    <s v="Base &amp; maintenance"/>
    <s v="Group"/>
    <n v="0"/>
    <x v="0"/>
    <x v="0"/>
    <n v="0"/>
    <n v="0"/>
    <n v="0"/>
    <n v="0"/>
    <n v="4000"/>
  </r>
  <r>
    <s v="LOG308"/>
    <d v="2026-04-04T00:00:00"/>
    <s v="Saturday"/>
    <x v="9"/>
    <d v="2026-04-01T00:00:00"/>
    <x v="3"/>
    <x v="14"/>
    <n v="3"/>
    <s v="trips"/>
    <s v="Used"/>
    <x v="1"/>
    <s v="Purchased"/>
    <s v="Group"/>
    <n v="0"/>
    <x v="0"/>
    <x v="0"/>
    <n v="0"/>
    <n v="0"/>
    <n v="0"/>
    <n v="0"/>
    <n v="0"/>
  </r>
  <r>
    <s v="LOG309"/>
    <d v="2026-04-04T00:00:00"/>
    <s v="Saturday"/>
    <x v="9"/>
    <d v="2026-04-01T00:00:00"/>
    <x v="1"/>
    <x v="1"/>
    <n v="6000"/>
    <s v="NGN"/>
    <s v="Paid"/>
    <x v="1"/>
    <s v="Labour for base casting"/>
    <s v="Group"/>
    <n v="6000"/>
    <x v="0"/>
    <x v="0"/>
    <n v="0"/>
    <n v="0"/>
    <n v="0"/>
    <n v="0"/>
    <n v="0"/>
  </r>
  <r>
    <s v="LOG310"/>
    <d v="2026-04-04T00:00:00"/>
    <s v="Saturday"/>
    <x v="9"/>
    <d v="2026-04-01T00:00:00"/>
    <x v="4"/>
    <x v="11"/>
    <n v="3"/>
    <s v="hours"/>
    <s v="Operated"/>
    <x v="1"/>
    <s v="Mixer operation"/>
    <s v="Group"/>
    <n v="0"/>
    <x v="5"/>
    <x v="0"/>
    <n v="0"/>
    <n v="0"/>
    <n v="0"/>
    <n v="0"/>
    <n v="0"/>
  </r>
  <r>
    <s v="LOG311"/>
    <d v="2026-04-04T00:00:00"/>
    <s v="Saturday"/>
    <x v="9"/>
    <d v="2026-04-01T00:00:00"/>
    <x v="4"/>
    <x v="12"/>
    <n v="2"/>
    <s v="hours"/>
    <s v="Operated"/>
    <x v="1"/>
    <s v="Vibrator operation"/>
    <s v="Group"/>
    <n v="0"/>
    <x v="0"/>
    <x v="4"/>
    <n v="0"/>
    <n v="0"/>
    <n v="0"/>
    <n v="0"/>
    <n v="0"/>
  </r>
  <r>
    <s v="LOG312"/>
    <d v="2026-04-05T00:00:00"/>
    <s v="Sunday"/>
    <x v="9"/>
    <d v="2026-04-01T00:00:00"/>
    <x v="3"/>
    <x v="9"/>
    <n v="10"/>
    <s v="bags"/>
    <s v="Used"/>
    <x v="1"/>
    <s v="Slab casting"/>
    <s v="Group"/>
    <n v="0"/>
    <x v="0"/>
    <x v="0"/>
    <n v="0"/>
    <n v="0"/>
    <n v="0"/>
    <n v="0"/>
    <n v="0"/>
  </r>
  <r>
    <s v="LOG313"/>
    <d v="2026-04-05T00:00:00"/>
    <s v="Sunday"/>
    <x v="9"/>
    <d v="2026-04-01T00:00:00"/>
    <x v="3"/>
    <x v="10"/>
    <n v="5"/>
    <s v="trips"/>
    <s v="Used"/>
    <x v="1"/>
    <s v="Slab casting"/>
    <s v="Group"/>
    <n v="0"/>
    <x v="0"/>
    <x v="0"/>
    <n v="0"/>
    <n v="0"/>
    <n v="0"/>
    <n v="0"/>
    <n v="5000"/>
  </r>
  <r>
    <s v="LOG314"/>
    <d v="2026-04-05T00:00:00"/>
    <s v="Sunday"/>
    <x v="9"/>
    <d v="2026-04-01T00:00:00"/>
    <x v="3"/>
    <x v="14"/>
    <n v="3"/>
    <s v="trips"/>
    <s v="Used"/>
    <x v="1"/>
    <s v="Pickup"/>
    <s v="Group"/>
    <n v="0"/>
    <x v="0"/>
    <x v="0"/>
    <n v="0"/>
    <n v="0"/>
    <n v="0"/>
    <n v="0"/>
    <n v="0"/>
  </r>
  <r>
    <s v="LOG315"/>
    <d v="2026-04-05T00:00:00"/>
    <s v="Sunday"/>
    <x v="9"/>
    <d v="2026-04-01T00:00:00"/>
    <x v="1"/>
    <x v="1"/>
    <n v="8000"/>
    <s v="NGN"/>
    <s v="Paid"/>
    <x v="1"/>
    <s v="Labour for slab casting"/>
    <s v="Group"/>
    <n v="8000"/>
    <x v="0"/>
    <x v="0"/>
    <n v="0"/>
    <n v="0"/>
    <n v="0"/>
    <n v="0"/>
    <n v="0"/>
  </r>
  <r>
    <s v="LOG316"/>
    <d v="2026-04-05T00:00:00"/>
    <s v="Sunday"/>
    <x v="9"/>
    <d v="2026-04-01T00:00:00"/>
    <x v="4"/>
    <x v="11"/>
    <n v="4"/>
    <s v="hours"/>
    <s v="Operated"/>
    <x v="1"/>
    <s v="Mixer operation"/>
    <s v="Group"/>
    <n v="0"/>
    <x v="3"/>
    <x v="0"/>
    <n v="0"/>
    <n v="0"/>
    <n v="0"/>
    <n v="0"/>
    <n v="0"/>
  </r>
  <r>
    <s v="LOG317"/>
    <d v="2026-04-05T00:00:00"/>
    <s v="Sunday"/>
    <x v="9"/>
    <d v="2026-04-01T00:00:00"/>
    <x v="4"/>
    <x v="12"/>
    <n v="3"/>
    <s v="hours"/>
    <s v="Operated"/>
    <x v="1"/>
    <s v="Vibrator operation"/>
    <s v="Group"/>
    <n v="0"/>
    <x v="0"/>
    <x v="3"/>
    <n v="0"/>
    <n v="0"/>
    <n v="0"/>
    <n v="0"/>
    <n v="0"/>
  </r>
  <r>
    <s v="LOG318"/>
    <d v="2026-04-06T00:00:00"/>
    <s v="Monday"/>
    <x v="10"/>
    <d v="2026-04-01T00:00:00"/>
    <x v="3"/>
    <x v="13"/>
    <n v="6"/>
    <s v="m"/>
    <s v="Used"/>
    <x v="1"/>
    <s v="Wall casting"/>
    <s v="Group"/>
    <n v="0"/>
    <x v="0"/>
    <x v="0"/>
    <n v="0"/>
    <n v="0"/>
    <n v="0"/>
    <n v="6000"/>
    <n v="0"/>
  </r>
  <r>
    <s v="LOG319"/>
    <d v="2026-04-06T00:00:00"/>
    <s v="Monday"/>
    <x v="10"/>
    <d v="2026-04-01T00:00:00"/>
    <x v="3"/>
    <x v="9"/>
    <n v="10.5"/>
    <s v="bags"/>
    <s v="Used"/>
    <x v="1"/>
    <s v="Wall casting"/>
    <s v="Group"/>
    <n v="0"/>
    <x v="0"/>
    <x v="0"/>
    <n v="0"/>
    <n v="0"/>
    <n v="0"/>
    <n v="0"/>
    <n v="0"/>
  </r>
  <r>
    <s v="LOG320"/>
    <d v="2026-04-06T00:00:00"/>
    <s v="Monday"/>
    <x v="10"/>
    <d v="2026-04-01T00:00:00"/>
    <x v="3"/>
    <x v="10"/>
    <n v="5"/>
    <s v="trips"/>
    <s v="Used"/>
    <x v="1"/>
    <s v="Wall casting"/>
    <s v="Group"/>
    <n v="0"/>
    <x v="0"/>
    <x v="0"/>
    <n v="0"/>
    <n v="0"/>
    <n v="0"/>
    <n v="0"/>
    <n v="5000"/>
  </r>
  <r>
    <s v="LOG321"/>
    <d v="2026-04-06T00:00:00"/>
    <s v="Monday"/>
    <x v="10"/>
    <d v="2026-04-01T00:00:00"/>
    <x v="1"/>
    <x v="1"/>
    <n v="8000"/>
    <s v="NGN"/>
    <s v="Paid"/>
    <x v="1"/>
    <s v="Labour for wall casting"/>
    <s v="Group"/>
    <n v="8000"/>
    <x v="0"/>
    <x v="0"/>
    <n v="0"/>
    <n v="0"/>
    <n v="0"/>
    <n v="0"/>
    <n v="0"/>
  </r>
  <r>
    <s v="LOG322"/>
    <d v="2026-04-06T00:00:00"/>
    <s v="Monday"/>
    <x v="10"/>
    <d v="2026-04-01T00:00:00"/>
    <x v="4"/>
    <x v="11"/>
    <n v="4"/>
    <s v="hours"/>
    <s v="Operated"/>
    <x v="1"/>
    <s v="Mixer operation"/>
    <s v="Group"/>
    <n v="0"/>
    <x v="3"/>
    <x v="0"/>
    <n v="0"/>
    <n v="0"/>
    <n v="0"/>
    <n v="0"/>
    <n v="0"/>
  </r>
  <r>
    <s v="LOG323"/>
    <d v="2026-04-06T00:00:00"/>
    <s v="Monday"/>
    <x v="10"/>
    <d v="2026-04-01T00:00:00"/>
    <x v="4"/>
    <x v="12"/>
    <n v="3"/>
    <s v="hours"/>
    <s v="Operated"/>
    <x v="1"/>
    <s v="Vibrator operation"/>
    <s v="Group"/>
    <n v="0"/>
    <x v="0"/>
    <x v="3"/>
    <n v="0"/>
    <n v="0"/>
    <n v="0"/>
    <n v="0"/>
    <n v="0"/>
  </r>
  <r>
    <s v="LOG324"/>
    <d v="2026-04-07T00:00:00"/>
    <s v="Tuesday"/>
    <x v="10"/>
    <d v="2026-04-01T00:00:00"/>
    <x v="3"/>
    <x v="9"/>
    <n v="8.5"/>
    <s v="bags"/>
    <s v="Used"/>
    <x v="1"/>
    <s v="Maintenance"/>
    <s v="Group"/>
    <n v="0"/>
    <x v="0"/>
    <x v="0"/>
    <n v="0"/>
    <n v="0"/>
    <n v="0"/>
    <n v="0"/>
    <n v="0"/>
  </r>
  <r>
    <s v="LOG325"/>
    <d v="2026-04-07T00:00:00"/>
    <s v="Tuesday"/>
    <x v="10"/>
    <d v="2026-04-01T00:00:00"/>
    <x v="1"/>
    <x v="1"/>
    <n v="6000"/>
    <s v="NGN"/>
    <s v="Paid"/>
    <x v="1"/>
    <s v="Labour for maintenance"/>
    <s v="Group"/>
    <n v="6000"/>
    <x v="0"/>
    <x v="0"/>
    <n v="0"/>
    <n v="0"/>
    <n v="0"/>
    <n v="0"/>
    <n v="0"/>
  </r>
  <r>
    <s v="LOG326"/>
    <d v="2026-04-08T00:00:00"/>
    <s v="Wednesday"/>
    <x v="10"/>
    <d v="2026-04-01T00:00:00"/>
    <x v="3"/>
    <x v="9"/>
    <n v="1.5"/>
    <s v="bags"/>
    <s v="Used"/>
    <x v="1"/>
    <s v="Curing"/>
    <s v="Group"/>
    <n v="0"/>
    <x v="0"/>
    <x v="0"/>
    <n v="0"/>
    <n v="0"/>
    <n v="0"/>
    <n v="0"/>
    <n v="0"/>
  </r>
  <r>
    <s v="LOG327"/>
    <d v="2026-04-08T00:00:00"/>
    <s v="Wednesday"/>
    <x v="10"/>
    <d v="2026-04-01T00:00:00"/>
    <x v="3"/>
    <x v="10"/>
    <n v="0"/>
    <s v="trips"/>
    <s v="Used"/>
    <x v="1"/>
    <s v="Curing (no trips recorded)"/>
    <s v="Group"/>
    <n v="0"/>
    <x v="0"/>
    <x v="0"/>
    <n v="0"/>
    <n v="0"/>
    <n v="0"/>
    <n v="0"/>
    <n v="0"/>
  </r>
  <r>
    <s v="LOG328"/>
    <d v="2026-04-08T00:00:00"/>
    <s v="Wednesday"/>
    <x v="10"/>
    <d v="2026-04-01T00:00:00"/>
    <x v="1"/>
    <x v="1"/>
    <n v="4000"/>
    <s v="NGN"/>
    <s v="Paid"/>
    <x v="1"/>
    <s v="Labour for curing"/>
    <s v="Group"/>
    <n v="4000"/>
    <x v="0"/>
    <x v="0"/>
    <n v="0"/>
    <n v="0"/>
    <n v="0"/>
    <n v="0"/>
    <n v="0"/>
  </r>
  <r>
    <s v="LOG329"/>
    <d v="2026-04-12T00:00:00"/>
    <s v="Sunday"/>
    <x v="10"/>
    <d v="2026-04-01T00:00:00"/>
    <x v="3"/>
    <x v="17"/>
    <n v="38"/>
    <s v="trips"/>
    <s v="Delivered"/>
    <x v="2"/>
    <s v="Laterite bulk"/>
    <s v="Group"/>
    <n v="0"/>
    <x v="0"/>
    <x v="0"/>
    <n v="0"/>
    <n v="0"/>
    <n v="0"/>
    <n v="0"/>
    <n v="0"/>
  </r>
  <r>
    <s v="LOG330"/>
    <d v="2026-04-17T00:00:00"/>
    <s v="Friday"/>
    <x v="11"/>
    <d v="2026-04-01T00:00:00"/>
    <x v="3"/>
    <x v="17"/>
    <n v="23"/>
    <s v="trips"/>
    <s v="Delivered"/>
    <x v="2"/>
    <s v="11 pickup +12 6-tyre"/>
    <s v="Group"/>
    <n v="0"/>
    <x v="0"/>
    <x v="0"/>
    <n v="0"/>
    <n v="0"/>
    <n v="0"/>
    <n v="0"/>
    <n v="0"/>
  </r>
  <r>
    <s v="LOG331"/>
    <d v="2026-04-17T00:00:00"/>
    <s v="Friday"/>
    <x v="11"/>
    <d v="2026-04-01T00:00:00"/>
    <x v="1"/>
    <x v="1"/>
    <n v="16000"/>
    <s v="NGN"/>
    <s v="Paid"/>
    <x v="2"/>
    <s v="4 labours"/>
    <s v="Group"/>
    <n v="16000"/>
    <x v="0"/>
    <x v="0"/>
    <n v="0"/>
    <n v="0"/>
    <n v="0"/>
    <n v="0"/>
    <n v="0"/>
  </r>
  <r>
    <s v="LOG332"/>
    <d v="2026-04-18T00:00:00"/>
    <s v="Saturday"/>
    <x v="11"/>
    <d v="2026-04-01T00:00:00"/>
    <x v="3"/>
    <x v="17"/>
    <n v="2"/>
    <s v="trips"/>
    <s v="Delivered"/>
    <x v="2"/>
    <s v="6-tyre truck"/>
    <s v="Group"/>
    <n v="0"/>
    <x v="0"/>
    <x v="0"/>
    <n v="0"/>
    <n v="0"/>
    <n v="0"/>
    <n v="0"/>
    <n v="0"/>
  </r>
  <r>
    <s v="LOG333"/>
    <d v="2026-04-18T00:00:00"/>
    <s v="Saturday"/>
    <x v="11"/>
    <d v="2026-04-01T00:00:00"/>
    <x v="3"/>
    <x v="18"/>
    <n v="4"/>
    <s v="trips"/>
    <s v="Delivered"/>
    <x v="1"/>
    <s v="1st-4th trips"/>
    <s v="Group"/>
    <n v="0"/>
    <x v="0"/>
    <x v="0"/>
    <n v="0"/>
    <n v="0"/>
    <n v="0"/>
    <n v="0"/>
    <n v="0"/>
  </r>
  <r>
    <s v="LOG334"/>
    <d v="2026-04-18T00:00:00"/>
    <s v="Saturday"/>
    <x v="11"/>
    <d v="2026-04-01T00:00:00"/>
    <x v="3"/>
    <x v="15"/>
    <n v="1"/>
    <s v="trip"/>
    <s v="Used"/>
    <x v="2"/>
    <s v="Stone base (aggregate)"/>
    <s v="Group"/>
    <n v="0"/>
    <x v="0"/>
    <x v="0"/>
    <n v="0"/>
    <n v="0"/>
    <n v="0"/>
    <n v="0"/>
    <n v="0"/>
  </r>
  <r>
    <s v="LOG335"/>
    <d v="2026-04-19T00:00:00"/>
    <s v="Sunday"/>
    <x v="11"/>
    <d v="2026-04-01T00:00:00"/>
    <x v="3"/>
    <x v="17"/>
    <n v="4"/>
    <s v="trips"/>
    <s v="Delivered"/>
    <x v="2"/>
    <s v="Trips 1-4"/>
    <s v="Group"/>
    <n v="0"/>
    <x v="0"/>
    <x v="0"/>
    <n v="0"/>
    <n v="0"/>
    <n v="0"/>
    <n v="0"/>
    <n v="0"/>
  </r>
  <r>
    <s v="LOG336"/>
    <d v="2026-04-19T00:00:00"/>
    <s v="Sunday"/>
    <x v="11"/>
    <d v="2026-04-01T00:00:00"/>
    <x v="1"/>
    <x v="1"/>
    <n v="12000"/>
    <s v="NGN"/>
    <s v="Paid"/>
    <x v="2"/>
    <s v="3 labours"/>
    <s v="Group"/>
    <n v="12000"/>
    <x v="0"/>
    <x v="0"/>
    <n v="0"/>
    <n v="0"/>
    <n v="0"/>
    <n v="0"/>
    <n v="0"/>
  </r>
  <r>
    <s v="LOG337"/>
    <d v="2026-04-20T00:00:00"/>
    <s v="Monday"/>
    <x v="12"/>
    <d v="2026-04-01T00:00:00"/>
    <x v="3"/>
    <x v="18"/>
    <n v="4"/>
    <s v="trips"/>
    <s v="Delivered"/>
    <x v="1"/>
    <s v="1st-4th trips"/>
    <s v="Group"/>
    <n v="0"/>
    <x v="0"/>
    <x v="0"/>
    <n v="0"/>
    <n v="0"/>
    <n v="0"/>
    <n v="0"/>
    <n v="0"/>
  </r>
  <r>
    <s v="LOG338"/>
    <d v="2026-04-20T00:00:00"/>
    <s v="Monday"/>
    <x v="12"/>
    <d v="2026-04-01T00:00:00"/>
    <x v="1"/>
    <x v="1"/>
    <n v="12000"/>
    <s v="NGN"/>
    <s v="Paid"/>
    <x v="2"/>
    <s v="3 labours"/>
    <s v="Group"/>
    <n v="12000"/>
    <x v="0"/>
    <x v="0"/>
    <n v="0"/>
    <n v="0"/>
    <n v="0"/>
    <n v="0"/>
    <n v="0"/>
  </r>
  <r>
    <s v="LOG339"/>
    <d v="2026-04-23T00:00:00"/>
    <s v="Thursday"/>
    <x v="12"/>
    <d v="2026-04-01T00:00:00"/>
    <x v="3"/>
    <x v="18"/>
    <n v="1"/>
    <s v="trip"/>
    <s v="Delivered"/>
    <x v="1"/>
    <s v="Stone base trip"/>
    <s v="Group"/>
    <n v="0"/>
    <x v="0"/>
    <x v="0"/>
    <n v="0"/>
    <n v="0"/>
    <n v="0"/>
    <n v="0"/>
    <n v="0"/>
  </r>
  <r>
    <s v="LOG340"/>
    <d v="2026-04-28T00:00:00"/>
    <s v="Tuesday"/>
    <x v="13"/>
    <d v="2026-04-01T00:00:00"/>
    <x v="3"/>
    <x v="14"/>
    <n v="1"/>
    <s v="trip"/>
    <s v="Used"/>
    <x v="1"/>
    <s v="Pickup"/>
    <s v="Group"/>
    <n v="0"/>
    <x v="0"/>
    <x v="0"/>
    <n v="0"/>
    <n v="0"/>
    <n v="0"/>
    <n v="0"/>
    <n v="0"/>
  </r>
  <r>
    <s v="LOG341"/>
    <d v="2026-04-28T00:00:00"/>
    <s v="Tuesday"/>
    <x v="13"/>
    <d v="2026-04-01T00:00:00"/>
    <x v="2"/>
    <x v="19"/>
    <n v="1"/>
    <s v="bags"/>
    <s v="Spilled"/>
    <x v="3"/>
    <s v="Damaged/unrecoverable bag"/>
    <s v="Store Count"/>
    <n v="0"/>
    <x v="0"/>
    <x v="0"/>
    <n v="0"/>
    <n v="0"/>
    <n v="0"/>
    <n v="0"/>
    <n v="0"/>
  </r>
  <r>
    <s v="LOG342"/>
    <d v="2026-04-28T00:00:00"/>
    <s v="Tuesday"/>
    <x v="13"/>
    <d v="2026-04-01T00:00:00"/>
    <x v="2"/>
    <x v="20"/>
    <n v="4"/>
    <s v="bags"/>
    <s v="Remaining"/>
    <x v="3"/>
    <s v="Final cement balance"/>
    <s v="Group"/>
    <n v="0"/>
    <x v="0"/>
    <x v="0"/>
    <n v="0"/>
    <n v="0"/>
    <n v="0"/>
    <n v="0"/>
    <n v="0"/>
  </r>
  <r>
    <s v="LOG343"/>
    <d v="2026-04-28T00:00:00"/>
    <s v="Tuesday"/>
    <x v="13"/>
    <d v="2026-04-01T00:00:00"/>
    <x v="2"/>
    <x v="21"/>
    <n v="92"/>
    <s v="pcs"/>
    <s v="Remaining"/>
    <x v="3"/>
    <s v="Remaining reinforcement"/>
    <s v="Group"/>
    <n v="0"/>
    <x v="0"/>
    <x v="0"/>
    <n v="0"/>
    <n v="0"/>
    <n v="0"/>
    <n v="0"/>
    <n v="0"/>
  </r>
  <r>
    <s v="LOG344"/>
    <d v="2026-04-28T00:00:00"/>
    <s v="Tuesday"/>
    <x v="13"/>
    <d v="2026-04-01T00:00:00"/>
    <x v="2"/>
    <x v="22"/>
    <n v="25"/>
    <s v="pcs"/>
    <s v="Remaining"/>
    <x v="3"/>
    <s v="Remaining reinforcement"/>
    <s v="Group"/>
    <n v="0"/>
    <x v="0"/>
    <x v="0"/>
    <n v="0"/>
    <n v="0"/>
    <n v="0"/>
    <n v="0"/>
    <n v="0"/>
  </r>
  <r>
    <s v="LOG345"/>
    <d v="2026-04-28T00:00:00"/>
    <s v="Tuesday"/>
    <x v="13"/>
    <d v="2026-04-01T00:00:00"/>
    <x v="2"/>
    <x v="23"/>
    <n v="2"/>
    <s v="pcs"/>
    <s v="Remaining"/>
    <x v="3"/>
    <s v="Remaining reinforcement"/>
    <s v="Group"/>
    <n v="0"/>
    <x v="0"/>
    <x v="0"/>
    <n v="0"/>
    <n v="0"/>
    <n v="0"/>
    <n v="0"/>
    <n v="0"/>
  </r>
  <r>
    <s v="LOG346"/>
    <d v="2026-04-28T00:00:00"/>
    <s v="Tuesday"/>
    <x v="13"/>
    <d v="2026-04-01T00:00:00"/>
    <x v="3"/>
    <x v="9"/>
    <n v="10.5"/>
    <s v="bags"/>
    <s v="Used"/>
    <x v="1"/>
    <s v="Reconciliation adjustment to reach 909"/>
    <s v="Group"/>
    <n v="0"/>
    <x v="0"/>
    <x v="0"/>
    <n v="0"/>
    <n v="0"/>
    <n v="0"/>
    <n v="0"/>
    <n v="0"/>
  </r>
  <r>
    <s v="LOG347"/>
    <d v="2026-04-29T00:00:00"/>
    <s v="Wednesday"/>
    <x v="13"/>
    <d v="2026-04-01T00:00:00"/>
    <x v="3"/>
    <x v="10"/>
    <n v="3"/>
    <s v="trips"/>
    <s v="Used"/>
    <x v="1"/>
    <s v="Corner casting"/>
    <s v="Group"/>
    <n v="0"/>
    <x v="0"/>
    <x v="0"/>
    <n v="0"/>
    <n v="0"/>
    <n v="0"/>
    <n v="0"/>
    <n v="3000"/>
  </r>
  <r>
    <s v="LOG348"/>
    <d v="2026-04-30T00:00:00"/>
    <s v="Thursday"/>
    <x v="13"/>
    <d v="2026-04-01T00:00:00"/>
    <x v="3"/>
    <x v="14"/>
    <n v="1"/>
    <s v="trip"/>
    <s v="Used"/>
    <x v="1"/>
    <s v="Tricycle"/>
    <s v="Group"/>
    <n v="0"/>
    <x v="0"/>
    <x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20" dataOnRows="1" applyNumberFormats="0" applyBorderFormats="0" applyFontFormats="0" applyPatternFormats="0" applyAlignmentFormats="0" applyWidthHeightFormats="1" dataCaption="Metric" updatedVersion="6" minRefreshableVersion="3" useAutoFormatting="1" itemPrintTitles="1" createdVersion="6" indent="0" compact="0" compactData="0" multipleFieldFilters="0">
  <location ref="B62:D92" firstHeaderRow="1" firstDataRow="1" firstDataCol="2"/>
  <pivotFields count="21">
    <pivotField compact="0" outline="0" showAll="0" defaultSubtotal="0"/>
    <pivotField compact="0" numFmtId="14" outline="0" showAll="0" defaultSubtotal="0"/>
    <pivotField compact="0" outline="0" showAll="0" defaultSubtotal="0"/>
    <pivotField axis="axisRow" compact="0" outline="0" showAll="0" defaultSubtotal="0">
      <items count="14">
        <item x="5"/>
        <item x="6"/>
        <item x="7"/>
        <item x="8"/>
        <item x="9"/>
        <item x="10"/>
        <item x="11"/>
        <item x="12"/>
        <item x="13"/>
        <item x="0"/>
        <item x="1"/>
        <item x="2"/>
        <item x="3"/>
        <item x="4"/>
      </items>
    </pivotField>
    <pivotField compact="0" numFmtId="17" outline="0" showAll="0" defaultSubtotal="0"/>
    <pivotField compact="0" outline="0" multipleItemSelectionAllowed="1" showAll="0" defaultSubtotal="0"/>
    <pivotField compact="0" outline="0" multipleItemSelectionAllowed="1"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items count="6">
        <item x="0"/>
        <item x="5"/>
        <item x="3"/>
        <item x="4"/>
        <item x="1"/>
        <item x="2"/>
      </items>
    </pivotField>
    <pivotField dataField="1" compact="0" outline="0" showAll="0" defaultSubtotal="0">
      <items count="5">
        <item x="0"/>
        <item x="4"/>
        <item x="3"/>
        <item x="1"/>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3"/>
    <field x="-2"/>
  </rowFields>
  <rowItems count="30">
    <i>
      <x/>
      <x/>
    </i>
    <i r="1" i="1">
      <x v="1"/>
    </i>
    <i>
      <x v="1"/>
      <x/>
    </i>
    <i r="1" i="1">
      <x v="1"/>
    </i>
    <i>
      <x v="2"/>
      <x/>
    </i>
    <i r="1" i="1">
      <x v="1"/>
    </i>
    <i>
      <x v="3"/>
      <x/>
    </i>
    <i r="1" i="1">
      <x v="1"/>
    </i>
    <i>
      <x v="4"/>
      <x/>
    </i>
    <i r="1" i="1">
      <x v="1"/>
    </i>
    <i>
      <x v="5"/>
      <x/>
    </i>
    <i r="1" i="1">
      <x v="1"/>
    </i>
    <i>
      <x v="6"/>
      <x/>
    </i>
    <i r="1" i="1">
      <x v="1"/>
    </i>
    <i>
      <x v="7"/>
      <x/>
    </i>
    <i r="1" i="1">
      <x v="1"/>
    </i>
    <i>
      <x v="8"/>
      <x/>
    </i>
    <i r="1" i="1">
      <x v="1"/>
    </i>
    <i>
      <x v="9"/>
      <x/>
    </i>
    <i r="1" i="1">
      <x v="1"/>
    </i>
    <i>
      <x v="10"/>
      <x/>
    </i>
    <i r="1" i="1">
      <x v="1"/>
    </i>
    <i>
      <x v="11"/>
      <x/>
    </i>
    <i r="1" i="1">
      <x v="1"/>
    </i>
    <i>
      <x v="12"/>
      <x/>
    </i>
    <i r="1" i="1">
      <x v="1"/>
    </i>
    <i>
      <x v="13"/>
      <x/>
    </i>
    <i r="1" i="1">
      <x v="1"/>
    </i>
    <i t="grand">
      <x/>
    </i>
    <i t="grand" i="1">
      <x/>
    </i>
  </rowItems>
  <colItems count="1">
    <i/>
  </colItems>
  <dataFields count="2">
    <dataField name="Mixer" fld="14" baseField="0" baseItem="0"/>
    <dataField name="Vibrator" fld="15" baseField="0" baseItem="0"/>
  </dataFields>
  <formats count="22">
    <format dxfId="8">
      <pivotArea outline="0" collapsedLevelsAreSubtotals="1" fieldPosition="0"/>
    </format>
    <format dxfId="9">
      <pivotArea outline="0" collapsedLevelsAreSubtotals="1" fieldPosition="0"/>
    </format>
    <format dxfId="10">
      <pivotArea outline="0" collapsedLevelsAreSubtotals="1" fieldPosition="0"/>
    </format>
    <format dxfId="11">
      <pivotArea outline="0" collapsedLevelsAreSubtotals="1" fieldPosition="0"/>
    </format>
    <format dxfId="12">
      <pivotArea field="3" type="button" dataOnly="0" labelOnly="1" outline="0" axis="axisRow" fieldPosition="0"/>
    </format>
    <format dxfId="13">
      <pivotArea dataOnly="0" labelOnly="1" outline="0" fieldPosition="0">
        <references count="1">
          <reference field="3" count="0"/>
        </references>
      </pivotArea>
    </format>
    <format dxfId="14">
      <pivotArea outline="0" fieldPosition="0">
        <references count="2">
          <reference field="4294967294" count="2" selected="0">
            <x v="0"/>
            <x v="1"/>
          </reference>
          <reference field="3" count="0" selected="0"/>
        </references>
      </pivotArea>
    </format>
    <format dxfId="15">
      <pivotArea dataOnly="0" labelOnly="1" outline="0" fieldPosition="0">
        <references count="2">
          <reference field="4294967294" count="2">
            <x v="0"/>
            <x v="1"/>
          </reference>
          <reference field="3" count="1" selected="0">
            <x v="0"/>
          </reference>
        </references>
      </pivotArea>
    </format>
    <format dxfId="16">
      <pivotArea dataOnly="0" labelOnly="1" outline="0" fieldPosition="0">
        <references count="2">
          <reference field="4294967294" count="2">
            <x v="0"/>
            <x v="1"/>
          </reference>
          <reference field="3" count="1" selected="0">
            <x v="1"/>
          </reference>
        </references>
      </pivotArea>
    </format>
    <format dxfId="17">
      <pivotArea dataOnly="0" labelOnly="1" outline="0" fieldPosition="0">
        <references count="2">
          <reference field="4294967294" count="2">
            <x v="0"/>
            <x v="1"/>
          </reference>
          <reference field="3" count="1" selected="0">
            <x v="2"/>
          </reference>
        </references>
      </pivotArea>
    </format>
    <format dxfId="18">
      <pivotArea dataOnly="0" labelOnly="1" outline="0" fieldPosition="0">
        <references count="2">
          <reference field="4294967294" count="2">
            <x v="0"/>
            <x v="1"/>
          </reference>
          <reference field="3" count="1" selected="0">
            <x v="3"/>
          </reference>
        </references>
      </pivotArea>
    </format>
    <format dxfId="19">
      <pivotArea dataOnly="0" labelOnly="1" outline="0" fieldPosition="0">
        <references count="2">
          <reference field="4294967294" count="2">
            <x v="0"/>
            <x v="1"/>
          </reference>
          <reference field="3" count="1" selected="0">
            <x v="4"/>
          </reference>
        </references>
      </pivotArea>
    </format>
    <format dxfId="20">
      <pivotArea dataOnly="0" labelOnly="1" outline="0" fieldPosition="0">
        <references count="2">
          <reference field="4294967294" count="2">
            <x v="0"/>
            <x v="1"/>
          </reference>
          <reference field="3" count="1" selected="0">
            <x v="5"/>
          </reference>
        </references>
      </pivotArea>
    </format>
    <format dxfId="21">
      <pivotArea dataOnly="0" labelOnly="1" outline="0" fieldPosition="0">
        <references count="2">
          <reference field="4294967294" count="2">
            <x v="0"/>
            <x v="1"/>
          </reference>
          <reference field="3" count="1" selected="0">
            <x v="6"/>
          </reference>
        </references>
      </pivotArea>
    </format>
    <format dxfId="22">
      <pivotArea dataOnly="0" labelOnly="1" outline="0" fieldPosition="0">
        <references count="2">
          <reference field="4294967294" count="2">
            <x v="0"/>
            <x v="1"/>
          </reference>
          <reference field="3" count="1" selected="0">
            <x v="7"/>
          </reference>
        </references>
      </pivotArea>
    </format>
    <format dxfId="23">
      <pivotArea dataOnly="0" labelOnly="1" outline="0" fieldPosition="0">
        <references count="2">
          <reference field="4294967294" count="2">
            <x v="0"/>
            <x v="1"/>
          </reference>
          <reference field="3" count="1" selected="0">
            <x v="8"/>
          </reference>
        </references>
      </pivotArea>
    </format>
    <format dxfId="24">
      <pivotArea dataOnly="0" labelOnly="1" outline="0" fieldPosition="0">
        <references count="2">
          <reference field="4294967294" count="2">
            <x v="0"/>
            <x v="1"/>
          </reference>
          <reference field="3" count="1" selected="0">
            <x v="9"/>
          </reference>
        </references>
      </pivotArea>
    </format>
    <format dxfId="25">
      <pivotArea dataOnly="0" labelOnly="1" outline="0" fieldPosition="0">
        <references count="2">
          <reference field="4294967294" count="2">
            <x v="0"/>
            <x v="1"/>
          </reference>
          <reference field="3" count="1" selected="0">
            <x v="10"/>
          </reference>
        </references>
      </pivotArea>
    </format>
    <format dxfId="26">
      <pivotArea dataOnly="0" labelOnly="1" outline="0" fieldPosition="0">
        <references count="2">
          <reference field="4294967294" count="2">
            <x v="0"/>
            <x v="1"/>
          </reference>
          <reference field="3" count="1" selected="0">
            <x v="11"/>
          </reference>
        </references>
      </pivotArea>
    </format>
    <format dxfId="27">
      <pivotArea dataOnly="0" labelOnly="1" outline="0" fieldPosition="0">
        <references count="2">
          <reference field="4294967294" count="2">
            <x v="0"/>
            <x v="1"/>
          </reference>
          <reference field="3" count="1" selected="0">
            <x v="12"/>
          </reference>
        </references>
      </pivotArea>
    </format>
    <format dxfId="28">
      <pivotArea dataOnly="0" labelOnly="1" outline="0" fieldPosition="0">
        <references count="2">
          <reference field="4294967294" count="2">
            <x v="0"/>
            <x v="1"/>
          </reference>
          <reference field="3" count="1" selected="0">
            <x v="13"/>
          </reference>
        </references>
      </pivotArea>
    </format>
    <format dxfId="29">
      <pivotArea field="-2" type="button" dataOnly="0" labelOnly="1" outline="0" axis="axisRow" fieldPosition="1"/>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20"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Material">
  <location ref="B50:C56" firstHeaderRow="1" firstDataRow="1" firstDataCol="1"/>
  <pivotFields count="21">
    <pivotField showAll="0"/>
    <pivotField numFmtId="14" showAll="0"/>
    <pivotField showAll="0"/>
    <pivotField showAll="0"/>
    <pivotField numFmtId="17" showAll="0"/>
    <pivotField multipleItemSelectionAllowed="1" showAll="0"/>
    <pivotField axis="axisRow" multipleItemSelectionAllowed="1" showAll="0">
      <items count="25">
        <item h="1" x="8"/>
        <item x="7"/>
        <item x="16"/>
        <item x="20"/>
        <item x="19"/>
        <item x="9"/>
        <item h="1" x="11"/>
        <item h="1" x="12"/>
        <item h="1" x="0"/>
        <item h="1" x="5"/>
        <item h="1" x="15"/>
        <item h="1" x="1"/>
        <item h="1" x="17"/>
        <item h="1" x="6"/>
        <item h="1" x="14"/>
        <item h="1" x="18"/>
        <item h="1" x="13"/>
        <item h="1" x="10"/>
        <item h="1" x="3"/>
        <item h="1" x="22"/>
        <item h="1" x="2"/>
        <item h="1" x="23"/>
        <item h="1" x="4"/>
        <item h="1" x="2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6">
    <i>
      <x v="1"/>
    </i>
    <i>
      <x v="2"/>
    </i>
    <i>
      <x v="3"/>
    </i>
    <i>
      <x v="4"/>
    </i>
    <i>
      <x v="5"/>
    </i>
    <i t="grand">
      <x/>
    </i>
  </rowItems>
  <colItems count="1">
    <i/>
  </colItems>
  <dataFields count="1">
    <dataField name="Bags" fld="7" baseField="6" baseItem="1" numFmtId="1"/>
  </dataFields>
  <formats count="7">
    <format dxfId="48">
      <pivotArea outline="0" collapsedLevelsAreSubtotals="1" fieldPosition="0"/>
    </format>
    <format dxfId="49">
      <pivotArea outline="0" collapsedLevelsAreSubtotals="1" fieldPosition="0"/>
    </format>
    <format dxfId="50">
      <pivotArea outline="0" collapsedLevelsAreSubtotals="1" fieldPosition="0"/>
    </format>
    <format dxfId="51">
      <pivotArea outline="0" collapsedLevelsAreSubtotals="1" fieldPosition="0"/>
    </format>
    <format dxfId="2">
      <pivotArea outline="0" collapsedLevelsAreSubtotals="1" fieldPosition="0"/>
    </format>
    <format dxfId="1">
      <pivotArea dataOnly="0" labelOnly="1" outline="0" axis="axisValues"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Location">
  <location ref="B39:G44" firstHeaderRow="0" firstDataRow="1" firstDataCol="1"/>
  <pivotFields count="21">
    <pivotField showAll="0"/>
    <pivotField numFmtId="14" showAll="0"/>
    <pivotField showAll="0"/>
    <pivotField showAll="0">
      <items count="15">
        <item x="5"/>
        <item x="6"/>
        <item x="7"/>
        <item x="8"/>
        <item x="9"/>
        <item x="10"/>
        <item x="11"/>
        <item x="12"/>
        <item x="13"/>
        <item x="0"/>
        <item x="1"/>
        <item x="2"/>
        <item x="3"/>
        <item x="4"/>
        <item t="default"/>
      </items>
    </pivotField>
    <pivotField numFmtId="17" showAll="0"/>
    <pivotField multipleItemSelectionAllowed="1" showAll="0"/>
    <pivotField multipleItemSelectionAllowed="1" showAll="0"/>
    <pivotField showAll="0"/>
    <pivotField showAll="0"/>
    <pivotField showAll="0"/>
    <pivotField axis="axisRow" showAll="0">
      <items count="5">
        <item x="3"/>
        <item x="2"/>
        <item x="0"/>
        <item x="1"/>
        <item t="default"/>
      </items>
    </pivotField>
    <pivotField showAll="0"/>
    <pivotField showAll="0"/>
    <pivotField dataField="1" showAll="0"/>
    <pivotField showAll="0"/>
    <pivotField showAll="0"/>
    <pivotField showAll="0"/>
    <pivotField dataField="1" showAll="0"/>
    <pivotField dataField="1" showAll="0"/>
    <pivotField dataField="1" showAll="0"/>
    <pivotField dataField="1" showAll="0"/>
  </pivotFields>
  <rowFields count="1">
    <field x="10"/>
  </rowFields>
  <rowItems count="5">
    <i>
      <x/>
    </i>
    <i>
      <x v="1"/>
    </i>
    <i>
      <x v="2"/>
    </i>
    <i>
      <x v="3"/>
    </i>
    <i t="grand">
      <x/>
    </i>
  </rowItems>
  <colFields count="1">
    <field x="-2"/>
  </colFields>
  <colItems count="5">
    <i>
      <x/>
    </i>
    <i i="1">
      <x v="1"/>
    </i>
    <i i="2">
      <x v="2"/>
    </i>
    <i i="3">
      <x v="3"/>
    </i>
    <i i="4">
      <x v="4"/>
    </i>
  </colItems>
  <dataFields count="5">
    <dataField name="Excavation" fld="17" baseField="10" baseItem="0"/>
    <dataField name="Base Casting" fld="18" baseField="10" baseItem="0"/>
    <dataField name="Wall Casting" fld="19" baseField="0" baseItem="0"/>
    <dataField name="Water" fld="20" baseField="0" baseItem="0"/>
    <dataField name="Labour" fld="13" baseField="0" baseItem="0"/>
  </dataFields>
  <formats count="9">
    <format dxfId="55">
      <pivotArea outline="0" collapsedLevelsAreSubtotals="1" fieldPosition="0"/>
    </format>
    <format dxfId="56">
      <pivotArea outline="0" collapsedLevelsAreSubtotals="1" fieldPosition="0"/>
    </format>
    <format dxfId="57">
      <pivotArea outline="0" collapsedLevelsAreSubtotals="1" fieldPosition="0"/>
    </format>
    <format dxfId="33">
      <pivotArea field="10" type="button" dataOnly="0" labelOnly="1" outline="0" axis="axisRow" fieldPosition="0"/>
    </format>
    <format dxfId="32">
      <pivotArea dataOnly="0" labelOnly="1" outline="0" fieldPosition="0">
        <references count="1">
          <reference field="4294967294" count="5">
            <x v="0"/>
            <x v="1"/>
            <x v="2"/>
            <x v="3"/>
            <x v="4"/>
          </reference>
        </references>
      </pivotArea>
    </format>
    <format dxfId="31">
      <pivotArea field="10" type="button" dataOnly="0" labelOnly="1" outline="0" axis="axisRow" fieldPosition="0"/>
    </format>
    <format dxfId="30">
      <pivotArea dataOnly="0" labelOnly="1" outline="0" fieldPosition="0">
        <references count="1">
          <reference field="4294967294" count="5">
            <x v="0"/>
            <x v="1"/>
            <x v="2"/>
            <x v="3"/>
            <x v="4"/>
          </reference>
        </references>
      </pivotArea>
    </format>
    <format dxfId="4">
      <pivotArea outline="0" collapsedLevelsAreSubtotals="1" fieldPosition="0"/>
    </format>
    <format dxfId="3">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ategory">
  <location ref="B28:G33" firstHeaderRow="0" firstDataRow="1" firstDataCol="1"/>
  <pivotFields count="21">
    <pivotField showAll="0"/>
    <pivotField numFmtId="14" showAll="0"/>
    <pivotField showAll="0"/>
    <pivotField showAll="0"/>
    <pivotField numFmtId="17" showAll="0"/>
    <pivotField axis="axisRow" multipleItemSelectionAllowed="1" showAll="0">
      <items count="7">
        <item x="5"/>
        <item x="1"/>
        <item h="1" x="4"/>
        <item h="1" x="2"/>
        <item x="3"/>
        <item x="0"/>
        <item t="default"/>
      </items>
    </pivotField>
    <pivotField multipleItemSelectionAllowed="1" showAll="0"/>
    <pivotField showAll="0"/>
    <pivotField showAll="0"/>
    <pivotField showAll="0"/>
    <pivotField showAll="0"/>
    <pivotField showAll="0"/>
    <pivotField showAll="0"/>
    <pivotField dataField="1" showAll="0"/>
    <pivotField showAll="0"/>
    <pivotField showAll="0"/>
    <pivotField showAll="0"/>
    <pivotField dataField="1" showAll="0"/>
    <pivotField dataField="1" showAll="0"/>
    <pivotField dataField="1" showAll="0"/>
    <pivotField dataField="1" showAll="0"/>
  </pivotFields>
  <rowFields count="1">
    <field x="5"/>
  </rowFields>
  <rowItems count="5">
    <i>
      <x/>
    </i>
    <i>
      <x v="1"/>
    </i>
    <i>
      <x v="4"/>
    </i>
    <i>
      <x v="5"/>
    </i>
    <i t="grand">
      <x/>
    </i>
  </rowItems>
  <colFields count="1">
    <field x="-2"/>
  </colFields>
  <colItems count="5">
    <i>
      <x/>
    </i>
    <i i="1">
      <x v="1"/>
    </i>
    <i i="2">
      <x v="2"/>
    </i>
    <i i="3">
      <x v="3"/>
    </i>
    <i i="4">
      <x v="4"/>
    </i>
  </colItems>
  <dataFields count="5">
    <dataField name="Excavation" fld="17" baseField="5" baseItem="0"/>
    <dataField name="Base Casting" fld="18" baseField="5" baseItem="0"/>
    <dataField name="Wall Casting" fld="19" baseField="5" baseItem="0"/>
    <dataField name="Water" fld="20" baseField="5" baseItem="0"/>
    <dataField name="Labour" fld="13" baseField="5" baseItem="0"/>
  </dataFields>
  <formats count="5">
    <format dxfId="52">
      <pivotArea outline="0" collapsedLevelsAreSubtotals="1" fieldPosition="0"/>
    </format>
    <format dxfId="53">
      <pivotArea outline="0" collapsedLevelsAreSubtotals="1" fieldPosition="0"/>
    </format>
    <format dxfId="54">
      <pivotArea outline="0" collapsedLevelsAreSubtotals="1" fieldPosition="0"/>
    </format>
    <format dxfId="6">
      <pivotArea outline="0" collapsedLevelsAreSubtotals="1" fieldPosition="0"/>
    </format>
    <format dxfId="5">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Week">
  <location ref="B10:C22" firstHeaderRow="1" firstDataRow="1" firstDataCol="1" rowPageCount="2" colPageCount="1"/>
  <pivotFields count="21">
    <pivotField showAll="0"/>
    <pivotField numFmtId="14" showAll="0"/>
    <pivotField showAll="0"/>
    <pivotField axis="axisRow" showAll="0">
      <items count="15">
        <item x="5"/>
        <item x="6"/>
        <item x="7"/>
        <item x="8"/>
        <item x="9"/>
        <item x="10"/>
        <item x="11"/>
        <item x="12"/>
        <item x="13"/>
        <item x="0"/>
        <item x="1"/>
        <item x="2"/>
        <item x="3"/>
        <item x="4"/>
        <item t="default"/>
      </items>
    </pivotField>
    <pivotField numFmtId="17" showAll="0"/>
    <pivotField axis="axisPage" multipleItemSelectionAllowed="1" showAll="0">
      <items count="7">
        <item h="1" x="5"/>
        <item h="1" x="1"/>
        <item h="1" x="4"/>
        <item h="1" x="2"/>
        <item x="3"/>
        <item x="0"/>
        <item t="default"/>
      </items>
    </pivotField>
    <pivotField axis="axisPage" multipleItemSelectionAllowed="1" showAll="0">
      <items count="25">
        <item x="8"/>
        <item h="1" x="7"/>
        <item h="1" x="16"/>
        <item h="1" x="20"/>
        <item h="1" x="19"/>
        <item h="1" x="9"/>
        <item h="1" x="11"/>
        <item h="1" x="12"/>
        <item x="0"/>
        <item x="5"/>
        <item h="1" x="15"/>
        <item h="1" x="1"/>
        <item h="1" x="17"/>
        <item h="1" x="6"/>
        <item h="1" x="14"/>
        <item h="1" x="18"/>
        <item x="13"/>
        <item h="1" x="10"/>
        <item h="1" x="3"/>
        <item h="1" x="22"/>
        <item h="1" x="2"/>
        <item h="1" x="23"/>
        <item h="1" x="4"/>
        <item h="1" x="2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2">
    <i>
      <x/>
    </i>
    <i>
      <x v="1"/>
    </i>
    <i>
      <x v="2"/>
    </i>
    <i>
      <x v="3"/>
    </i>
    <i>
      <x v="4"/>
    </i>
    <i>
      <x v="5"/>
    </i>
    <i>
      <x v="9"/>
    </i>
    <i>
      <x v="10"/>
    </i>
    <i>
      <x v="11"/>
    </i>
    <i>
      <x v="12"/>
    </i>
    <i>
      <x v="13"/>
    </i>
    <i t="grand">
      <x/>
    </i>
  </rowItems>
  <colItems count="1">
    <i/>
  </colItems>
  <pageFields count="2">
    <pageField fld="5" hier="-1"/>
    <pageField fld="6" hier="-1"/>
  </pageFields>
  <dataFields count="1">
    <dataField name="Metres" fld="7" baseField="3" baseItem="0"/>
  </dataFields>
  <formats count="15">
    <format dxfId="43">
      <pivotArea outline="0" collapsedLevelsAreSubtotals="1" fieldPosition="0"/>
    </format>
    <format dxfId="44">
      <pivotArea outline="0" collapsedLevelsAreSubtotals="1" fieldPosition="0"/>
    </format>
    <format dxfId="45">
      <pivotArea outline="0" collapsedLevelsAreSubtotals="1" fieldPosition="0"/>
    </format>
    <format dxfId="46">
      <pivotArea outline="0" collapsedLevelsAreSubtotals="1" fieldPosition="0"/>
    </format>
    <format dxfId="47">
      <pivotArea outline="0" collapsedLevelsAreSubtotals="1" fieldPosition="0"/>
    </format>
    <format dxfId="42">
      <pivotArea field="3" type="button" dataOnly="0" labelOnly="1" outline="0" axis="axisRow" fieldPosition="0"/>
    </format>
    <format dxfId="41">
      <pivotArea dataOnly="0" labelOnly="1" outline="0" axis="axisValues" fieldPosition="0"/>
    </format>
    <format dxfId="40">
      <pivotArea dataOnly="0" labelOnly="1" outline="0" axis="axisValues" fieldPosition="0"/>
    </format>
    <format dxfId="39">
      <pivotArea field="3" type="button" dataOnly="0" labelOnly="1" outline="0" axis="axisRow" fieldPosition="0"/>
    </format>
    <format dxfId="38">
      <pivotArea dataOnly="0" labelOnly="1" outline="0" axis="axisValues" fieldPosition="0"/>
    </format>
    <format dxfId="37">
      <pivotArea dataOnly="0" labelOnly="1" outline="0" axis="axisValues" fieldPosition="0"/>
    </format>
    <format dxfId="36">
      <pivotArea field="3" type="button" dataOnly="0" labelOnly="1" outline="0" axis="axisRow" fieldPosition="0"/>
    </format>
    <format dxfId="35">
      <pivotArea dataOnly="0" labelOnly="1" outline="0" axis="axisValues" fieldPosition="0"/>
    </format>
    <format dxfId="34">
      <pivotArea dataOnly="0" labelOnly="1" outline="0" axis="axisValues" fieldPosition="0"/>
    </format>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3" name="Table3" displayName="Table3" ref="B1:B82" totalsRowShown="0" headerRowDxfId="85" headerRowBorderDxfId="84" tableBorderDxfId="83">
  <autoFilter ref="B1:B82">
    <filterColumn colId="0" hiddenButton="1"/>
  </autoFilter>
  <tableColumns count="1">
    <tableColumn id="1" name="EXECUTIVE SUMMARY"/>
  </tableColumns>
  <tableStyleInfo showFirstColumn="0" showLastColumn="0" showRowStripes="1" showColumnStripes="0"/>
</table>
</file>

<file path=xl/tables/table2.xml><?xml version="1.0" encoding="utf-8"?>
<table xmlns="http://schemas.openxmlformats.org/spreadsheetml/2006/main" id="1" name="Table1" displayName="Table1" ref="A1:U350" totalsRowCount="1" headerRowDxfId="82" dataDxfId="81">
  <autoFilter ref="A1:U349"/>
  <tableColumns count="21">
    <tableColumn id="1" name="Log_ID" dataDxfId="80"/>
    <tableColumn id="2" name="Date" dataDxfId="79" totalsRowDxfId="78"/>
    <tableColumn id="3" name="Day" dataDxfId="77"/>
    <tableColumn id="4" name="Week" dataDxfId="76"/>
    <tableColumn id="5" name="Month" dataDxfId="75" totalsRowDxfId="74"/>
    <tableColumn id="6" name="Category" dataDxfId="73"/>
    <tableColumn id="7" name="Item" dataDxfId="72"/>
    <tableColumn id="8" name="Quantity" dataDxfId="71"/>
    <tableColumn id="9" name="Unit" dataDxfId="70"/>
    <tableColumn id="10" name="Operation" dataDxfId="69"/>
    <tableColumn id="11" name="Location" dataDxfId="68"/>
    <tableColumn id="12" name="Notes" dataDxfId="67"/>
    <tableColumn id="13" name="Source" dataDxfId="66"/>
    <tableColumn id="14" name="Labour_Cost_NGN" dataDxfId="65"/>
    <tableColumn id="15" name="Mixer_Hours" dataDxfId="64"/>
    <tableColumn id="16" name="Vibrator_Hours" dataDxfId="63"/>
    <tableColumn id="20" name="Excavation_Rate" dataDxfId="62">
      <calculatedColumnFormula>IF(AND(OR(F2="Work",F2="Adjustment"),OR(ISNUMBER(SEARCH("Excavation",G2)),G2="Excavation Repair")),IF(K2="Chairman Street",800,IF(K2="INEC Street",1000,0)),0)</calculatedColumnFormula>
    </tableColumn>
    <tableColumn id="17" name="Excavation_Cost_NGN" dataDxfId="61">
      <calculatedColumnFormula>IF(AND(OR(F2="Work", F2="Adjustment"), OR(ISNUMBER(SEARCH("Excavation", G2)), G2="Excavation Repair")), H2 * IF(K2="Site A", 800, IF(K2="Site B", 1000, 0)), 0)</calculatedColumnFormula>
    </tableColumn>
    <tableColumn id="22" name="Base_Casting_Cost_NGN" dataDxfId="60">
      <calculatedColumnFormula>IF(G2="Base Casting",H2*500,0)</calculatedColumnFormula>
    </tableColumn>
    <tableColumn id="23" name="Wall_Casting_Cost_NGN" dataDxfId="59">
      <calculatedColumnFormula>IF(G2="Wall Casting",H2*1000,0)</calculatedColumnFormula>
    </tableColumn>
    <tableColumn id="24" name="Water_Trip_Cost_NGN" dataDxfId="58">
      <calculatedColumnFormula>IF(G2="Water Supply",H2*1000,0)</calculatedColumnFormula>
    </tableColumn>
  </tableColumns>
  <tableStyleInfo name="TableStyleMedium2"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7.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2"/>
  <sheetViews>
    <sheetView showGridLines="0" topLeftCell="A101" workbookViewId="0">
      <selection activeCell="A108" sqref="A108"/>
    </sheetView>
  </sheetViews>
  <sheetFormatPr defaultRowHeight="14.5" x14ac:dyDescent="0.35"/>
  <cols>
    <col min="4" max="4" width="32.54296875" style="12" customWidth="1"/>
    <col min="5" max="5" width="74.6328125" style="39" customWidth="1"/>
  </cols>
  <sheetData>
    <row r="1" spans="1:5" ht="45" customHeight="1" x14ac:dyDescent="0.35">
      <c r="D1" s="12" t="s">
        <v>1071</v>
      </c>
      <c r="E1" s="41" t="s">
        <v>523</v>
      </c>
    </row>
    <row r="2" spans="1:5" ht="20" customHeight="1" x14ac:dyDescent="0.35">
      <c r="C2" s="4"/>
      <c r="D2" s="12" t="s">
        <v>1038</v>
      </c>
      <c r="E2" s="42" t="s">
        <v>524</v>
      </c>
    </row>
    <row r="3" spans="1:5" ht="20" customHeight="1" x14ac:dyDescent="0.35">
      <c r="C3" s="4"/>
      <c r="D3" s="12" t="s">
        <v>1077</v>
      </c>
      <c r="E3" s="42" t="s">
        <v>758</v>
      </c>
    </row>
    <row r="4" spans="1:5" ht="20" customHeight="1" x14ac:dyDescent="0.35">
      <c r="C4" s="4"/>
      <c r="D4" s="12" t="s">
        <v>1072</v>
      </c>
      <c r="E4" s="44" t="s">
        <v>525</v>
      </c>
    </row>
    <row r="6" spans="1:5" ht="20" customHeight="1" x14ac:dyDescent="0.35">
      <c r="D6" s="12" t="s">
        <v>535</v>
      </c>
      <c r="E6" s="33"/>
    </row>
    <row r="7" spans="1:5" ht="20" customHeight="1" x14ac:dyDescent="0.35">
      <c r="E7" s="33" t="s">
        <v>536</v>
      </c>
    </row>
    <row r="8" spans="1:5" ht="20" customHeight="1" x14ac:dyDescent="0.35">
      <c r="E8" s="33" t="s">
        <v>537</v>
      </c>
    </row>
    <row r="9" spans="1:5" ht="20" customHeight="1" x14ac:dyDescent="0.35">
      <c r="E9" s="33" t="s">
        <v>526</v>
      </c>
    </row>
    <row r="10" spans="1:5" ht="20" customHeight="1" x14ac:dyDescent="0.35">
      <c r="E10" s="33"/>
    </row>
    <row r="11" spans="1:5" ht="20" customHeight="1" x14ac:dyDescent="0.35">
      <c r="D11" s="12" t="s">
        <v>538</v>
      </c>
    </row>
    <row r="12" spans="1:5" ht="20" customHeight="1" x14ac:dyDescent="0.35">
      <c r="E12" s="33" t="s">
        <v>527</v>
      </c>
    </row>
    <row r="14" spans="1:5" ht="20" customHeight="1" x14ac:dyDescent="0.35">
      <c r="A14" s="4"/>
      <c r="B14" s="4"/>
      <c r="C14" s="4"/>
      <c r="D14" s="12" t="s">
        <v>539</v>
      </c>
      <c r="E14" s="33"/>
    </row>
    <row r="15" spans="1:5" ht="20" customHeight="1" x14ac:dyDescent="0.35">
      <c r="A15" s="4"/>
      <c r="B15" s="4"/>
      <c r="C15" s="4"/>
      <c r="E15" s="33" t="s">
        <v>540</v>
      </c>
    </row>
    <row r="16" spans="1:5" ht="20" customHeight="1" x14ac:dyDescent="0.35">
      <c r="A16" s="4"/>
      <c r="B16" s="4"/>
      <c r="C16" s="4"/>
      <c r="E16" s="33" t="s">
        <v>541</v>
      </c>
    </row>
    <row r="17" spans="1:5" ht="20" customHeight="1" x14ac:dyDescent="0.35">
      <c r="A17" s="4"/>
      <c r="B17" s="4"/>
      <c r="C17" s="4"/>
      <c r="E17" s="33" t="s">
        <v>542</v>
      </c>
    </row>
    <row r="18" spans="1:5" ht="20" customHeight="1" x14ac:dyDescent="0.35">
      <c r="A18" s="4"/>
      <c r="B18" s="4"/>
      <c r="C18" s="4"/>
      <c r="E18" s="33" t="s">
        <v>543</v>
      </c>
    </row>
    <row r="19" spans="1:5" ht="20" customHeight="1" x14ac:dyDescent="0.35">
      <c r="A19" s="4"/>
      <c r="B19" s="4"/>
      <c r="C19" s="4"/>
      <c r="E19" s="33" t="s">
        <v>544</v>
      </c>
    </row>
    <row r="20" spans="1:5" ht="20" customHeight="1" x14ac:dyDescent="0.35">
      <c r="A20" s="4"/>
      <c r="B20" s="4"/>
      <c r="C20" s="4"/>
      <c r="E20" s="33" t="s">
        <v>545</v>
      </c>
    </row>
    <row r="21" spans="1:5" ht="20" customHeight="1" x14ac:dyDescent="0.35">
      <c r="A21" s="4"/>
      <c r="B21" s="4"/>
      <c r="C21" s="4"/>
      <c r="E21" s="33" t="s">
        <v>546</v>
      </c>
    </row>
    <row r="22" spans="1:5" ht="20" customHeight="1" x14ac:dyDescent="0.35">
      <c r="A22" s="4"/>
      <c r="B22" s="4"/>
      <c r="C22" s="4"/>
      <c r="E22" s="33" t="s">
        <v>547</v>
      </c>
    </row>
    <row r="23" spans="1:5" ht="20" customHeight="1" x14ac:dyDescent="0.35">
      <c r="A23" s="4"/>
      <c r="B23" s="4"/>
      <c r="C23" s="4"/>
      <c r="E23" s="33" t="s">
        <v>548</v>
      </c>
    </row>
    <row r="24" spans="1:5" ht="20" customHeight="1" x14ac:dyDescent="0.35">
      <c r="A24" s="4"/>
      <c r="B24" s="4"/>
      <c r="C24" s="4"/>
      <c r="E24" s="33" t="s">
        <v>549</v>
      </c>
    </row>
    <row r="25" spans="1:5" ht="20" customHeight="1" x14ac:dyDescent="0.35">
      <c r="A25" s="4"/>
      <c r="B25" s="4"/>
      <c r="C25" s="4"/>
      <c r="E25" s="33" t="s">
        <v>550</v>
      </c>
    </row>
    <row r="26" spans="1:5" ht="20" customHeight="1" x14ac:dyDescent="0.35">
      <c r="A26" s="4"/>
      <c r="B26" s="4"/>
      <c r="C26" s="4"/>
      <c r="E26" s="33" t="s">
        <v>551</v>
      </c>
    </row>
    <row r="28" spans="1:5" ht="20" customHeight="1" x14ac:dyDescent="0.35">
      <c r="A28" s="4"/>
      <c r="B28" s="4"/>
      <c r="C28" s="4"/>
      <c r="D28" s="12" t="s">
        <v>552</v>
      </c>
      <c r="E28" s="33"/>
    </row>
    <row r="29" spans="1:5" ht="20" customHeight="1" x14ac:dyDescent="0.35">
      <c r="A29" s="4"/>
      <c r="B29" s="4"/>
      <c r="C29" s="4"/>
      <c r="E29" s="33" t="s">
        <v>553</v>
      </c>
    </row>
    <row r="31" spans="1:5" ht="20" customHeight="1" x14ac:dyDescent="0.35">
      <c r="A31" s="4"/>
      <c r="B31" s="4"/>
      <c r="C31" s="4"/>
      <c r="D31" s="12" t="s">
        <v>554</v>
      </c>
      <c r="E31" s="33"/>
    </row>
    <row r="32" spans="1:5" ht="20" customHeight="1" x14ac:dyDescent="0.35">
      <c r="A32" s="4"/>
      <c r="B32" s="4"/>
      <c r="C32" s="4"/>
      <c r="E32" s="33" t="s">
        <v>555</v>
      </c>
    </row>
    <row r="33" spans="1:5" ht="20" customHeight="1" x14ac:dyDescent="0.35">
      <c r="A33" s="4"/>
      <c r="B33" s="4"/>
      <c r="C33" s="4"/>
      <c r="E33" s="33" t="s">
        <v>556</v>
      </c>
    </row>
    <row r="34" spans="1:5" ht="20" customHeight="1" x14ac:dyDescent="0.35">
      <c r="A34" s="4"/>
      <c r="B34" s="4"/>
      <c r="C34" s="4"/>
      <c r="E34" s="33" t="s">
        <v>557</v>
      </c>
    </row>
    <row r="35" spans="1:5" ht="20" customHeight="1" x14ac:dyDescent="0.35">
      <c r="A35" s="4"/>
      <c r="B35" s="4"/>
      <c r="C35" s="4"/>
      <c r="E35" s="33" t="s">
        <v>558</v>
      </c>
    </row>
    <row r="36" spans="1:5" ht="20" customHeight="1" x14ac:dyDescent="0.35">
      <c r="A36" s="4"/>
      <c r="B36" s="4"/>
      <c r="C36" s="4"/>
      <c r="E36" s="33" t="s">
        <v>559</v>
      </c>
    </row>
    <row r="37" spans="1:5" ht="20" customHeight="1" x14ac:dyDescent="0.35">
      <c r="A37" s="4"/>
      <c r="B37" s="4"/>
      <c r="C37" s="4"/>
      <c r="E37" s="33" t="s">
        <v>560</v>
      </c>
    </row>
    <row r="38" spans="1:5" ht="20" customHeight="1" x14ac:dyDescent="0.35">
      <c r="A38" s="4"/>
      <c r="B38" s="4"/>
      <c r="C38" s="4"/>
      <c r="E38" s="33" t="s">
        <v>561</v>
      </c>
    </row>
    <row r="40" spans="1:5" ht="20" customHeight="1" x14ac:dyDescent="0.35">
      <c r="A40" s="43"/>
      <c r="B40" s="43"/>
      <c r="C40" s="43"/>
      <c r="D40" s="12" t="s">
        <v>562</v>
      </c>
      <c r="E40" s="33"/>
    </row>
    <row r="41" spans="1:5" ht="20" customHeight="1" x14ac:dyDescent="0.35">
      <c r="A41" s="43"/>
      <c r="B41" s="43"/>
      <c r="C41" s="43"/>
      <c r="E41" s="33" t="s">
        <v>563</v>
      </c>
    </row>
    <row r="42" spans="1:5" ht="20" customHeight="1" x14ac:dyDescent="0.35">
      <c r="A42" s="43"/>
      <c r="B42" s="43"/>
      <c r="C42" s="43"/>
      <c r="E42" s="33" t="s">
        <v>564</v>
      </c>
    </row>
    <row r="43" spans="1:5" ht="20" customHeight="1" x14ac:dyDescent="0.35">
      <c r="A43" s="43"/>
      <c r="B43" s="43"/>
      <c r="C43" s="43"/>
      <c r="E43" s="33" t="s">
        <v>565</v>
      </c>
    </row>
    <row r="44" spans="1:5" ht="20" customHeight="1" x14ac:dyDescent="0.35">
      <c r="A44" s="43"/>
      <c r="B44" s="43"/>
      <c r="C44" s="43"/>
      <c r="E44" s="33" t="s">
        <v>566</v>
      </c>
    </row>
    <row r="45" spans="1:5" ht="20" customHeight="1" x14ac:dyDescent="0.35">
      <c r="A45" s="43"/>
      <c r="B45" s="43"/>
      <c r="C45" s="43"/>
      <c r="E45" s="33"/>
    </row>
    <row r="46" spans="1:5" ht="20" customHeight="1" x14ac:dyDescent="0.35">
      <c r="A46" s="43"/>
      <c r="B46" s="43"/>
      <c r="C46" s="43"/>
      <c r="E46" s="33" t="s">
        <v>567</v>
      </c>
    </row>
    <row r="47" spans="1:5" ht="20" customHeight="1" x14ac:dyDescent="0.35">
      <c r="A47" s="43"/>
      <c r="B47" s="43"/>
      <c r="C47" s="43"/>
      <c r="E47" s="33" t="s">
        <v>568</v>
      </c>
    </row>
    <row r="48" spans="1:5" ht="20" customHeight="1" x14ac:dyDescent="0.35">
      <c r="A48" s="43"/>
      <c r="B48" s="43"/>
      <c r="C48" s="43"/>
      <c r="E48" s="33" t="s">
        <v>569</v>
      </c>
    </row>
    <row r="49" spans="1:5" ht="20" customHeight="1" x14ac:dyDescent="0.35">
      <c r="A49" s="43"/>
      <c r="B49" s="43"/>
      <c r="C49" s="43"/>
      <c r="E49" s="33" t="s">
        <v>570</v>
      </c>
    </row>
    <row r="50" spans="1:5" ht="20" customHeight="1" x14ac:dyDescent="0.35">
      <c r="A50" s="43"/>
      <c r="B50" s="43"/>
      <c r="C50" s="43"/>
      <c r="E50" s="33" t="s">
        <v>571</v>
      </c>
    </row>
    <row r="51" spans="1:5" ht="20" customHeight="1" x14ac:dyDescent="0.35">
      <c r="A51" s="43"/>
      <c r="B51" s="43"/>
      <c r="C51" s="43"/>
      <c r="E51" s="33" t="s">
        <v>572</v>
      </c>
    </row>
    <row r="52" spans="1:5" ht="20" customHeight="1" x14ac:dyDescent="0.35">
      <c r="A52" s="43"/>
      <c r="B52" s="43"/>
      <c r="C52" s="43"/>
      <c r="E52" s="33" t="s">
        <v>573</v>
      </c>
    </row>
    <row r="53" spans="1:5" ht="20" customHeight="1" x14ac:dyDescent="0.35">
      <c r="A53" s="43"/>
      <c r="B53" s="43"/>
      <c r="C53" s="43"/>
      <c r="E53" s="33" t="s">
        <v>574</v>
      </c>
    </row>
    <row r="54" spans="1:5" ht="20" customHeight="1" x14ac:dyDescent="0.35">
      <c r="A54" s="43"/>
      <c r="B54" s="43"/>
      <c r="C54" s="43"/>
      <c r="E54" s="33" t="s">
        <v>575</v>
      </c>
    </row>
    <row r="55" spans="1:5" ht="20" customHeight="1" x14ac:dyDescent="0.35">
      <c r="A55" s="43"/>
      <c r="B55" s="43"/>
      <c r="C55" s="43"/>
      <c r="E55" s="33" t="s">
        <v>576</v>
      </c>
    </row>
    <row r="56" spans="1:5" ht="20" customHeight="1" x14ac:dyDescent="0.35">
      <c r="A56" s="43"/>
      <c r="B56" s="43"/>
      <c r="C56" s="43"/>
      <c r="E56" s="33" t="s">
        <v>577</v>
      </c>
    </row>
    <row r="57" spans="1:5" ht="20" customHeight="1" x14ac:dyDescent="0.35">
      <c r="A57" s="43"/>
      <c r="B57" s="43"/>
      <c r="C57" s="43"/>
      <c r="E57" s="33" t="s">
        <v>578</v>
      </c>
    </row>
    <row r="58" spans="1:5" x14ac:dyDescent="0.35">
      <c r="E58" s="40"/>
    </row>
    <row r="59" spans="1:5" ht="20" customHeight="1" x14ac:dyDescent="0.35">
      <c r="A59" s="4"/>
      <c r="B59" s="4"/>
      <c r="C59" s="4"/>
      <c r="D59" s="12" t="s">
        <v>579</v>
      </c>
      <c r="E59" s="33"/>
    </row>
    <row r="60" spans="1:5" ht="20" customHeight="1" x14ac:dyDescent="0.35">
      <c r="A60" s="4"/>
      <c r="B60" s="4"/>
      <c r="C60" s="4"/>
      <c r="E60" s="9" t="s">
        <v>1073</v>
      </c>
    </row>
    <row r="61" spans="1:5" ht="20" customHeight="1" x14ac:dyDescent="0.35">
      <c r="A61" s="4"/>
      <c r="B61" s="4"/>
      <c r="C61" s="4"/>
      <c r="E61" s="9" t="s">
        <v>1074</v>
      </c>
    </row>
    <row r="62" spans="1:5" ht="20" customHeight="1" x14ac:dyDescent="0.35">
      <c r="A62" s="4"/>
      <c r="B62" s="4"/>
      <c r="C62" s="4"/>
      <c r="E62" s="9" t="s">
        <v>1075</v>
      </c>
    </row>
    <row r="63" spans="1:5" ht="20" customHeight="1" x14ac:dyDescent="0.35">
      <c r="A63" s="4"/>
      <c r="B63" s="4"/>
      <c r="C63" s="4"/>
      <c r="E63" s="9" t="s">
        <v>1076</v>
      </c>
    </row>
    <row r="64" spans="1:5" ht="20" customHeight="1" x14ac:dyDescent="0.35">
      <c r="A64" s="4"/>
      <c r="B64" s="4"/>
      <c r="C64" s="4"/>
      <c r="E64" s="9" t="s">
        <v>581</v>
      </c>
    </row>
    <row r="65" spans="1:5" ht="20" customHeight="1" x14ac:dyDescent="0.35">
      <c r="A65" s="4"/>
      <c r="B65" s="4"/>
      <c r="C65" s="4"/>
      <c r="E65" s="9" t="s">
        <v>582</v>
      </c>
    </row>
    <row r="66" spans="1:5" ht="20" customHeight="1" x14ac:dyDescent="0.35">
      <c r="A66" s="4"/>
      <c r="B66" s="4"/>
      <c r="C66" s="4"/>
      <c r="E66" s="9" t="s">
        <v>583</v>
      </c>
    </row>
    <row r="68" spans="1:5" ht="20" customHeight="1" x14ac:dyDescent="0.35">
      <c r="D68" s="12" t="s">
        <v>584</v>
      </c>
      <c r="E68" s="9"/>
    </row>
    <row r="69" spans="1:5" ht="20" customHeight="1" x14ac:dyDescent="0.35">
      <c r="E69" s="9" t="s">
        <v>585</v>
      </c>
    </row>
    <row r="70" spans="1:5" ht="20" customHeight="1" x14ac:dyDescent="0.35">
      <c r="E70" s="9" t="s">
        <v>586</v>
      </c>
    </row>
    <row r="71" spans="1:5" ht="20" customHeight="1" x14ac:dyDescent="0.35">
      <c r="E71" s="9" t="s">
        <v>587</v>
      </c>
    </row>
    <row r="72" spans="1:5" ht="20" customHeight="1" x14ac:dyDescent="0.35">
      <c r="E72" s="9" t="s">
        <v>588</v>
      </c>
    </row>
    <row r="73" spans="1:5" ht="20" customHeight="1" x14ac:dyDescent="0.35">
      <c r="E73" s="9"/>
    </row>
    <row r="74" spans="1:5" ht="20" customHeight="1" x14ac:dyDescent="0.35">
      <c r="D74" s="12" t="s">
        <v>589</v>
      </c>
      <c r="E74" s="9"/>
    </row>
    <row r="75" spans="1:5" ht="20" customHeight="1" x14ac:dyDescent="0.35">
      <c r="E75" s="9" t="s">
        <v>530</v>
      </c>
    </row>
    <row r="76" spans="1:5" ht="35" customHeight="1" x14ac:dyDescent="0.35">
      <c r="E76" s="17" t="s">
        <v>590</v>
      </c>
    </row>
    <row r="77" spans="1:5" ht="20" customHeight="1" x14ac:dyDescent="0.35">
      <c r="E77" s="9" t="s">
        <v>591</v>
      </c>
    </row>
    <row r="78" spans="1:5" ht="20" customHeight="1" x14ac:dyDescent="0.35">
      <c r="E78" s="9"/>
    </row>
    <row r="79" spans="1:5" ht="20" customHeight="1" x14ac:dyDescent="0.35">
      <c r="D79" s="12" t="s">
        <v>531</v>
      </c>
      <c r="E79" s="9"/>
    </row>
    <row r="80" spans="1:5" ht="20" customHeight="1" x14ac:dyDescent="0.35">
      <c r="E80" s="9" t="s">
        <v>592</v>
      </c>
    </row>
    <row r="81" spans="4:5" ht="20" customHeight="1" x14ac:dyDescent="0.35">
      <c r="E81" s="9" t="s">
        <v>593</v>
      </c>
    </row>
    <row r="82" spans="4:5" ht="35" customHeight="1" x14ac:dyDescent="0.35">
      <c r="E82" s="17" t="s">
        <v>594</v>
      </c>
    </row>
    <row r="83" spans="4:5" ht="20" customHeight="1" x14ac:dyDescent="0.35">
      <c r="E83" s="17" t="s">
        <v>595</v>
      </c>
    </row>
    <row r="84" spans="4:5" ht="20" customHeight="1" x14ac:dyDescent="0.35">
      <c r="E84" s="9" t="s">
        <v>596</v>
      </c>
    </row>
    <row r="85" spans="4:5" ht="35" customHeight="1" x14ac:dyDescent="0.35">
      <c r="E85" s="17" t="s">
        <v>597</v>
      </c>
    </row>
    <row r="86" spans="4:5" ht="30" customHeight="1" x14ac:dyDescent="0.35">
      <c r="E86" s="17" t="s">
        <v>598</v>
      </c>
    </row>
    <row r="87" spans="4:5" ht="35" customHeight="1" x14ac:dyDescent="0.35">
      <c r="E87" s="17" t="s">
        <v>599</v>
      </c>
    </row>
    <row r="88" spans="4:5" ht="20" customHeight="1" x14ac:dyDescent="0.35">
      <c r="E88" s="9"/>
    </row>
    <row r="89" spans="4:5" ht="20" customHeight="1" x14ac:dyDescent="0.35">
      <c r="D89" s="12" t="s">
        <v>532</v>
      </c>
      <c r="E89" s="9"/>
    </row>
    <row r="90" spans="4:5" ht="20" customHeight="1" x14ac:dyDescent="0.35">
      <c r="E90" s="9" t="s">
        <v>533</v>
      </c>
    </row>
    <row r="91" spans="4:5" ht="20" customHeight="1" x14ac:dyDescent="0.35">
      <c r="E91" s="9" t="s">
        <v>600</v>
      </c>
    </row>
    <row r="92" spans="4:5" ht="20" customHeight="1" x14ac:dyDescent="0.35">
      <c r="E92" s="9" t="s">
        <v>601</v>
      </c>
    </row>
    <row r="93" spans="4:5" ht="20" customHeight="1" x14ac:dyDescent="0.35">
      <c r="E93" s="9" t="s">
        <v>602</v>
      </c>
    </row>
    <row r="94" spans="4:5" ht="20" customHeight="1" x14ac:dyDescent="0.35">
      <c r="E94" s="9" t="s">
        <v>603</v>
      </c>
    </row>
    <row r="95" spans="4:5" ht="20" customHeight="1" x14ac:dyDescent="0.35">
      <c r="E95" s="9" t="s">
        <v>604</v>
      </c>
    </row>
    <row r="96" spans="4:5" ht="20" customHeight="1" x14ac:dyDescent="0.35">
      <c r="E96" s="9" t="s">
        <v>605</v>
      </c>
    </row>
    <row r="97" spans="4:5" ht="20" customHeight="1" x14ac:dyDescent="0.35">
      <c r="E97" s="9" t="s">
        <v>606</v>
      </c>
    </row>
    <row r="98" spans="4:5" ht="20" customHeight="1" x14ac:dyDescent="0.35">
      <c r="E98" s="9"/>
    </row>
    <row r="99" spans="4:5" ht="20" customHeight="1" x14ac:dyDescent="0.35">
      <c r="D99" s="12" t="s">
        <v>534</v>
      </c>
      <c r="E99" s="9"/>
    </row>
    <row r="100" spans="4:5" ht="20" customHeight="1" x14ac:dyDescent="0.35">
      <c r="E100" s="17" t="s">
        <v>607</v>
      </c>
    </row>
    <row r="101" spans="4:5" ht="20" customHeight="1" x14ac:dyDescent="0.35">
      <c r="E101" s="17" t="s">
        <v>608</v>
      </c>
    </row>
    <row r="102" spans="4:5" ht="20" customHeight="1" x14ac:dyDescent="0.35">
      <c r="E102" s="17" t="s">
        <v>609</v>
      </c>
    </row>
    <row r="103" spans="4:5" ht="20" customHeight="1" x14ac:dyDescent="0.35">
      <c r="E103" s="17" t="s">
        <v>610</v>
      </c>
    </row>
    <row r="104" spans="4:5" ht="20" customHeight="1" x14ac:dyDescent="0.35">
      <c r="E104" s="17" t="s">
        <v>611</v>
      </c>
    </row>
    <row r="105" spans="4:5" ht="20" customHeight="1" x14ac:dyDescent="0.35">
      <c r="E105" s="17" t="s">
        <v>612</v>
      </c>
    </row>
    <row r="106" spans="4:5" ht="20" customHeight="1" x14ac:dyDescent="0.35">
      <c r="E106" s="17" t="s">
        <v>613</v>
      </c>
    </row>
    <row r="107" spans="4:5" ht="20" customHeight="1" x14ac:dyDescent="0.35">
      <c r="E107" s="17" t="s">
        <v>614</v>
      </c>
    </row>
    <row r="108" spans="4:5" ht="20" customHeight="1" x14ac:dyDescent="0.35">
      <c r="E108" s="9"/>
    </row>
    <row r="109" spans="4:5" ht="30" customHeight="1" x14ac:dyDescent="0.35">
      <c r="E109" s="17" t="s">
        <v>615</v>
      </c>
    </row>
    <row r="110" spans="4:5" ht="20" customHeight="1" x14ac:dyDescent="0.35">
      <c r="E110" s="9"/>
    </row>
    <row r="111" spans="4:5" ht="20" customHeight="1" x14ac:dyDescent="0.35">
      <c r="D111" s="12" t="s">
        <v>616</v>
      </c>
      <c r="E111" s="9"/>
    </row>
    <row r="112" spans="4:5" ht="35" customHeight="1" x14ac:dyDescent="0.35">
      <c r="E112" s="17" t="s">
        <v>617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7"/>
  <sheetViews>
    <sheetView topLeftCell="A75" workbookViewId="0">
      <selection activeCell="F80" sqref="F80"/>
    </sheetView>
  </sheetViews>
  <sheetFormatPr defaultRowHeight="14.5" x14ac:dyDescent="0.35"/>
  <cols>
    <col min="1" max="1" width="2.54296875" style="31" customWidth="1"/>
    <col min="2" max="2" width="107.453125" bestFit="1" customWidth="1"/>
    <col min="3" max="4" width="8.7265625" customWidth="1"/>
    <col min="8" max="8" width="8.7265625" customWidth="1"/>
  </cols>
  <sheetData>
    <row r="1" spans="2:2" ht="45" customHeight="1" thickBot="1" x14ac:dyDescent="0.4">
      <c r="B1" s="35" t="s">
        <v>677</v>
      </c>
    </row>
    <row r="3" spans="2:2" ht="22" customHeight="1" x14ac:dyDescent="0.35">
      <c r="B3" s="3" t="s">
        <v>618</v>
      </c>
    </row>
    <row r="4" spans="2:2" ht="20" customHeight="1" x14ac:dyDescent="0.35">
      <c r="B4" s="9" t="s">
        <v>619</v>
      </c>
    </row>
    <row r="5" spans="2:2" ht="20" customHeight="1" x14ac:dyDescent="0.35">
      <c r="B5" s="9" t="s">
        <v>620</v>
      </c>
    </row>
    <row r="6" spans="2:2" x14ac:dyDescent="0.35">
      <c r="B6" s="4"/>
    </row>
    <row r="7" spans="2:2" ht="20" customHeight="1" x14ac:dyDescent="0.35">
      <c r="B7" s="6" t="s">
        <v>621</v>
      </c>
    </row>
    <row r="8" spans="2:2" ht="20" customHeight="1" x14ac:dyDescent="0.35">
      <c r="B8" s="6" t="s">
        <v>622</v>
      </c>
    </row>
    <row r="9" spans="2:2" ht="20" customHeight="1" x14ac:dyDescent="0.35">
      <c r="B9" s="6" t="s">
        <v>623</v>
      </c>
    </row>
    <row r="10" spans="2:2" x14ac:dyDescent="0.35">
      <c r="B10" s="4"/>
    </row>
    <row r="11" spans="2:2" ht="20" customHeight="1" x14ac:dyDescent="0.35">
      <c r="B11" s="6" t="s">
        <v>624</v>
      </c>
    </row>
    <row r="12" spans="2:2" ht="20" customHeight="1" x14ac:dyDescent="0.35">
      <c r="B12" s="6" t="s">
        <v>625</v>
      </c>
    </row>
    <row r="13" spans="2:2" ht="20" customHeight="1" x14ac:dyDescent="0.35">
      <c r="B13" s="6" t="s">
        <v>626</v>
      </c>
    </row>
    <row r="14" spans="2:2" x14ac:dyDescent="0.35">
      <c r="B14" s="4"/>
    </row>
    <row r="15" spans="2:2" ht="20" customHeight="1" x14ac:dyDescent="0.35">
      <c r="B15" s="6" t="s">
        <v>642</v>
      </c>
    </row>
    <row r="16" spans="2:2" x14ac:dyDescent="0.35">
      <c r="B16" s="4"/>
    </row>
    <row r="17" spans="2:2" ht="20" customHeight="1" x14ac:dyDescent="0.35">
      <c r="B17" s="6" t="s">
        <v>643</v>
      </c>
    </row>
    <row r="19" spans="2:2" ht="22" customHeight="1" x14ac:dyDescent="0.35">
      <c r="B19" s="3" t="s">
        <v>627</v>
      </c>
    </row>
    <row r="20" spans="2:2" ht="20" customHeight="1" x14ac:dyDescent="0.35">
      <c r="B20" s="6" t="s">
        <v>644</v>
      </c>
    </row>
    <row r="21" spans="2:2" x14ac:dyDescent="0.35">
      <c r="B21" s="4"/>
    </row>
    <row r="22" spans="2:2" ht="20" customHeight="1" x14ac:dyDescent="0.35">
      <c r="B22" s="6" t="s">
        <v>628</v>
      </c>
    </row>
    <row r="23" spans="2:2" ht="20" customHeight="1" x14ac:dyDescent="0.35">
      <c r="B23" s="6" t="s">
        <v>629</v>
      </c>
    </row>
    <row r="24" spans="2:2" x14ac:dyDescent="0.35">
      <c r="B24" s="4"/>
    </row>
    <row r="25" spans="2:2" ht="20" customHeight="1" x14ac:dyDescent="0.35">
      <c r="B25" s="6" t="s">
        <v>630</v>
      </c>
    </row>
    <row r="26" spans="2:2" ht="20" customHeight="1" x14ac:dyDescent="0.35">
      <c r="B26" s="6" t="s">
        <v>645</v>
      </c>
    </row>
    <row r="27" spans="2:2" ht="20" customHeight="1" x14ac:dyDescent="0.35">
      <c r="B27" s="6" t="s">
        <v>631</v>
      </c>
    </row>
    <row r="28" spans="2:2" ht="20" customHeight="1" x14ac:dyDescent="0.35">
      <c r="B28" s="6" t="s">
        <v>632</v>
      </c>
    </row>
    <row r="29" spans="2:2" ht="20" customHeight="1" x14ac:dyDescent="0.35">
      <c r="B29" s="6" t="s">
        <v>633</v>
      </c>
    </row>
    <row r="30" spans="2:2" ht="20" customHeight="1" x14ac:dyDescent="0.35">
      <c r="B30" s="6" t="s">
        <v>634</v>
      </c>
    </row>
    <row r="31" spans="2:2" ht="20" customHeight="1" x14ac:dyDescent="0.35">
      <c r="B31" s="6" t="s">
        <v>646</v>
      </c>
    </row>
    <row r="32" spans="2:2" ht="20" customHeight="1" x14ac:dyDescent="0.35">
      <c r="B32" s="6" t="s">
        <v>635</v>
      </c>
    </row>
    <row r="33" spans="1:2" ht="20" customHeight="1" x14ac:dyDescent="0.35">
      <c r="B33" s="6" t="s">
        <v>647</v>
      </c>
    </row>
    <row r="35" spans="1:2" ht="22" customHeight="1" x14ac:dyDescent="0.35">
      <c r="B35" s="3" t="s">
        <v>636</v>
      </c>
    </row>
    <row r="37" spans="1:2" ht="22" customHeight="1" x14ac:dyDescent="0.35">
      <c r="B37" s="3" t="s">
        <v>648</v>
      </c>
    </row>
    <row r="38" spans="1:2" s="4" customFormat="1" ht="20" customHeight="1" x14ac:dyDescent="0.3">
      <c r="A38" s="32"/>
      <c r="B38" s="6" t="s">
        <v>694</v>
      </c>
    </row>
    <row r="39" spans="1:2" s="4" customFormat="1" ht="20" customHeight="1" x14ac:dyDescent="0.3">
      <c r="A39" s="32"/>
      <c r="B39" s="6" t="s">
        <v>695</v>
      </c>
    </row>
    <row r="40" spans="1:2" s="4" customFormat="1" ht="20" customHeight="1" x14ac:dyDescent="0.3">
      <c r="A40" s="32"/>
      <c r="B40" s="6" t="s">
        <v>696</v>
      </c>
    </row>
    <row r="42" spans="1:2" ht="22" customHeight="1" x14ac:dyDescent="0.35">
      <c r="B42" s="3" t="s">
        <v>649</v>
      </c>
    </row>
    <row r="43" spans="1:2" s="4" customFormat="1" ht="20" customHeight="1" x14ac:dyDescent="0.3">
      <c r="A43" s="32"/>
      <c r="B43" s="6" t="s">
        <v>650</v>
      </c>
    </row>
    <row r="44" spans="1:2" s="4" customFormat="1" ht="20" customHeight="1" x14ac:dyDescent="0.3">
      <c r="A44" s="32"/>
      <c r="B44" s="6" t="s">
        <v>651</v>
      </c>
    </row>
    <row r="45" spans="1:2" s="4" customFormat="1" ht="20" customHeight="1" x14ac:dyDescent="0.3">
      <c r="A45" s="32"/>
      <c r="B45" s="6" t="s">
        <v>652</v>
      </c>
    </row>
    <row r="47" spans="1:2" ht="22" customHeight="1" x14ac:dyDescent="0.35">
      <c r="B47" s="3" t="s">
        <v>653</v>
      </c>
    </row>
    <row r="48" spans="1:2" s="4" customFormat="1" ht="20" customHeight="1" x14ac:dyDescent="0.3">
      <c r="A48" s="32"/>
      <c r="B48" s="6" t="s">
        <v>637</v>
      </c>
    </row>
    <row r="49" spans="1:2" s="4" customFormat="1" ht="20" customHeight="1" x14ac:dyDescent="0.3">
      <c r="A49" s="32"/>
      <c r="B49" s="6" t="s">
        <v>638</v>
      </c>
    </row>
    <row r="50" spans="1:2" s="4" customFormat="1" ht="20" customHeight="1" x14ac:dyDescent="0.3">
      <c r="A50" s="32"/>
      <c r="B50" s="6" t="s">
        <v>639</v>
      </c>
    </row>
    <row r="51" spans="1:2" s="4" customFormat="1" ht="20" customHeight="1" x14ac:dyDescent="0.3">
      <c r="A51" s="32"/>
      <c r="B51" s="6" t="s">
        <v>640</v>
      </c>
    </row>
    <row r="53" spans="1:2" ht="22" customHeight="1" x14ac:dyDescent="0.35">
      <c r="B53" s="3" t="s">
        <v>654</v>
      </c>
    </row>
    <row r="54" spans="1:2" s="4" customFormat="1" ht="20" customHeight="1" x14ac:dyDescent="0.3">
      <c r="A54" s="32"/>
      <c r="B54" s="6" t="s">
        <v>655</v>
      </c>
    </row>
    <row r="55" spans="1:2" s="4" customFormat="1" ht="20" customHeight="1" x14ac:dyDescent="0.3">
      <c r="A55" s="32"/>
      <c r="B55" s="6" t="s">
        <v>656</v>
      </c>
    </row>
    <row r="56" spans="1:2" s="4" customFormat="1" ht="20" customHeight="1" x14ac:dyDescent="0.3">
      <c r="A56" s="32"/>
      <c r="B56" s="6" t="s">
        <v>657</v>
      </c>
    </row>
    <row r="58" spans="1:2" ht="22" customHeight="1" x14ac:dyDescent="0.35">
      <c r="B58" s="3" t="s">
        <v>658</v>
      </c>
    </row>
    <row r="59" spans="1:2" s="4" customFormat="1" ht="20" customHeight="1" x14ac:dyDescent="0.3">
      <c r="A59" s="32"/>
      <c r="B59" s="6" t="s">
        <v>641</v>
      </c>
    </row>
    <row r="60" spans="1:2" s="4" customFormat="1" ht="20" customHeight="1" x14ac:dyDescent="0.3">
      <c r="A60" s="32"/>
      <c r="B60" s="6" t="s">
        <v>659</v>
      </c>
    </row>
    <row r="61" spans="1:2" s="4" customFormat="1" ht="20" customHeight="1" x14ac:dyDescent="0.3">
      <c r="A61" s="32"/>
      <c r="B61" s="6" t="s">
        <v>660</v>
      </c>
    </row>
    <row r="62" spans="1:2" s="4" customFormat="1" ht="20" customHeight="1" x14ac:dyDescent="0.3">
      <c r="A62" s="32"/>
      <c r="B62" s="6" t="s">
        <v>661</v>
      </c>
    </row>
    <row r="64" spans="1:2" ht="22" customHeight="1" x14ac:dyDescent="0.35">
      <c r="B64" s="3" t="s">
        <v>532</v>
      </c>
    </row>
    <row r="65" spans="1:6" s="4" customFormat="1" ht="20" customHeight="1" x14ac:dyDescent="0.3">
      <c r="A65" s="32"/>
      <c r="B65" s="8" t="s">
        <v>662</v>
      </c>
    </row>
    <row r="66" spans="1:6" s="4" customFormat="1" ht="20" customHeight="1" x14ac:dyDescent="0.3">
      <c r="A66" s="32"/>
      <c r="B66" s="8" t="s">
        <v>663</v>
      </c>
    </row>
    <row r="67" spans="1:6" s="4" customFormat="1" ht="20" customHeight="1" x14ac:dyDescent="0.3">
      <c r="A67" s="32"/>
      <c r="B67" s="8" t="s">
        <v>664</v>
      </c>
    </row>
    <row r="68" spans="1:6" s="4" customFormat="1" ht="13" x14ac:dyDescent="0.3">
      <c r="A68" s="32"/>
    </row>
    <row r="69" spans="1:6" s="4" customFormat="1" ht="20" customHeight="1" x14ac:dyDescent="0.3">
      <c r="A69" s="32"/>
      <c r="B69" s="6" t="s">
        <v>665</v>
      </c>
    </row>
    <row r="70" spans="1:6" s="4" customFormat="1" ht="20" customHeight="1" x14ac:dyDescent="0.3">
      <c r="A70" s="32"/>
      <c r="B70" s="6" t="s">
        <v>666</v>
      </c>
    </row>
    <row r="71" spans="1:6" s="4" customFormat="1" ht="13" x14ac:dyDescent="0.3">
      <c r="A71" s="32"/>
    </row>
    <row r="72" spans="1:6" s="4" customFormat="1" ht="20" customHeight="1" x14ac:dyDescent="0.3">
      <c r="A72" s="32"/>
      <c r="B72" s="6" t="s">
        <v>667</v>
      </c>
    </row>
    <row r="73" spans="1:6" s="4" customFormat="1" ht="20" customHeight="1" x14ac:dyDescent="0.3">
      <c r="A73" s="32"/>
      <c r="B73" s="6" t="s">
        <v>668</v>
      </c>
    </row>
    <row r="74" spans="1:6" s="4" customFormat="1" ht="20" customHeight="1" x14ac:dyDescent="0.3">
      <c r="A74" s="32"/>
      <c r="B74" s="6" t="s">
        <v>669</v>
      </c>
    </row>
    <row r="75" spans="1:6" s="4" customFormat="1" ht="20" customHeight="1" x14ac:dyDescent="0.3">
      <c r="A75" s="32"/>
      <c r="B75" s="6" t="s">
        <v>670</v>
      </c>
    </row>
    <row r="76" spans="1:6" s="4" customFormat="1" ht="20" customHeight="1" x14ac:dyDescent="0.3">
      <c r="A76" s="32"/>
      <c r="B76" s="6" t="s">
        <v>671</v>
      </c>
    </row>
    <row r="77" spans="1:6" s="4" customFormat="1" ht="20" customHeight="1" x14ac:dyDescent="0.3">
      <c r="A77" s="32"/>
      <c r="B77" s="6" t="s">
        <v>672</v>
      </c>
    </row>
    <row r="78" spans="1:6" s="4" customFormat="1" ht="20" customHeight="1" x14ac:dyDescent="0.3">
      <c r="A78" s="32"/>
      <c r="B78" s="6" t="s">
        <v>673</v>
      </c>
      <c r="F78" s="4" t="s">
        <v>678</v>
      </c>
    </row>
    <row r="79" spans="1:6" s="4" customFormat="1" ht="13" x14ac:dyDescent="0.3">
      <c r="A79" s="32"/>
    </row>
    <row r="80" spans="1:6" s="4" customFormat="1" ht="20" customHeight="1" x14ac:dyDescent="0.3">
      <c r="A80" s="32"/>
      <c r="B80" s="8" t="s">
        <v>674</v>
      </c>
    </row>
    <row r="81" spans="1:2" s="4" customFormat="1" ht="20" customHeight="1" x14ac:dyDescent="0.3">
      <c r="A81" s="32"/>
      <c r="B81" s="8" t="s">
        <v>675</v>
      </c>
    </row>
    <row r="82" spans="1:2" s="4" customFormat="1" ht="20" customHeight="1" x14ac:dyDescent="0.3">
      <c r="A82" s="32"/>
      <c r="B82" s="8" t="s">
        <v>676</v>
      </c>
    </row>
    <row r="84" spans="1:2" ht="22" customHeight="1" x14ac:dyDescent="0.35">
      <c r="B84" s="3" t="s">
        <v>1083</v>
      </c>
    </row>
    <row r="85" spans="1:2" s="4" customFormat="1" ht="39" x14ac:dyDescent="0.3">
      <c r="A85" s="32"/>
      <c r="B85" s="8" t="s">
        <v>1084</v>
      </c>
    </row>
    <row r="86" spans="1:2" x14ac:dyDescent="0.35">
      <c r="B86" s="8"/>
    </row>
    <row r="87" spans="1:2" s="4" customFormat="1" ht="39" x14ac:dyDescent="0.3">
      <c r="A87" s="32"/>
      <c r="B87" s="8" t="s">
        <v>1085</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66"/>
  <sheetViews>
    <sheetView workbookViewId="0">
      <selection activeCell="D63" sqref="D63"/>
    </sheetView>
  </sheetViews>
  <sheetFormatPr defaultRowHeight="14.5" x14ac:dyDescent="0.35"/>
  <cols>
    <col min="1" max="1" width="2.6328125" customWidth="1"/>
    <col min="2" max="2" width="54.54296875" style="11" customWidth="1"/>
    <col min="3" max="3" width="45.7265625" style="6" customWidth="1"/>
    <col min="4" max="4" width="39.36328125" customWidth="1"/>
  </cols>
  <sheetData>
    <row r="1" spans="2:4" ht="45" customHeight="1" thickBot="1" x14ac:dyDescent="0.4">
      <c r="B1" s="49" t="s">
        <v>579</v>
      </c>
      <c r="C1" s="50"/>
      <c r="D1" s="51"/>
    </row>
    <row r="3" spans="2:4" ht="20" customHeight="1" x14ac:dyDescent="0.35">
      <c r="B3" s="11" t="s">
        <v>1038</v>
      </c>
      <c r="C3" s="6" t="s">
        <v>529</v>
      </c>
    </row>
    <row r="4" spans="2:4" ht="20" customHeight="1" x14ac:dyDescent="0.35">
      <c r="B4" s="11" t="s">
        <v>1005</v>
      </c>
      <c r="C4" s="6" t="s">
        <v>22</v>
      </c>
    </row>
    <row r="5" spans="2:4" ht="20" customHeight="1" x14ac:dyDescent="0.35">
      <c r="B5" s="11" t="s">
        <v>1039</v>
      </c>
      <c r="C5" s="6" t="s">
        <v>1040</v>
      </c>
    </row>
    <row r="6" spans="2:4" ht="20" customHeight="1" x14ac:dyDescent="0.35">
      <c r="B6" s="11" t="s">
        <v>759</v>
      </c>
      <c r="C6" s="6" t="s">
        <v>528</v>
      </c>
    </row>
    <row r="7" spans="2:4" ht="20" customHeight="1" x14ac:dyDescent="0.35">
      <c r="B7" s="11" t="s">
        <v>1041</v>
      </c>
      <c r="C7" s="6" t="s">
        <v>1042</v>
      </c>
    </row>
    <row r="8" spans="2:4" ht="20" customHeight="1" x14ac:dyDescent="0.35">
      <c r="B8" s="11" t="s">
        <v>1043</v>
      </c>
      <c r="C8" s="6" t="s">
        <v>684</v>
      </c>
    </row>
    <row r="9" spans="2:4" ht="20" customHeight="1" x14ac:dyDescent="0.35">
      <c r="C9" s="6" t="s">
        <v>685</v>
      </c>
    </row>
    <row r="10" spans="2:4" ht="20" customHeight="1" x14ac:dyDescent="0.35">
      <c r="B10" s="11" t="s">
        <v>1044</v>
      </c>
      <c r="C10" s="6" t="s">
        <v>1045</v>
      </c>
    </row>
    <row r="11" spans="2:4" ht="20" customHeight="1" x14ac:dyDescent="0.35">
      <c r="B11" s="11" t="s">
        <v>1046</v>
      </c>
      <c r="C11" s="6" t="s">
        <v>1047</v>
      </c>
    </row>
    <row r="12" spans="2:4" ht="26" x14ac:dyDescent="0.35">
      <c r="B12" s="11" t="s">
        <v>1048</v>
      </c>
      <c r="C12" s="5" t="s">
        <v>679</v>
      </c>
    </row>
    <row r="13" spans="2:4" ht="26" x14ac:dyDescent="0.35">
      <c r="B13" s="11" t="s">
        <v>1049</v>
      </c>
      <c r="C13" s="5" t="s">
        <v>680</v>
      </c>
    </row>
    <row r="14" spans="2:4" ht="20" customHeight="1" x14ac:dyDescent="0.35">
      <c r="B14" s="11" t="s">
        <v>1050</v>
      </c>
      <c r="C14" s="6" t="s">
        <v>686</v>
      </c>
    </row>
    <row r="15" spans="2:4" ht="20" customHeight="1" x14ac:dyDescent="0.35">
      <c r="C15" s="6" t="s">
        <v>687</v>
      </c>
    </row>
    <row r="16" spans="2:4" ht="20" customHeight="1" x14ac:dyDescent="0.35">
      <c r="C16" s="6" t="s">
        <v>688</v>
      </c>
    </row>
    <row r="17" spans="2:4" ht="20" customHeight="1" x14ac:dyDescent="0.35">
      <c r="C17" s="6" t="s">
        <v>689</v>
      </c>
    </row>
    <row r="18" spans="2:4" ht="20" customHeight="1" x14ac:dyDescent="0.35">
      <c r="C18" s="6" t="s">
        <v>690</v>
      </c>
    </row>
    <row r="19" spans="2:4" ht="20" customHeight="1" x14ac:dyDescent="0.35">
      <c r="C19" s="6" t="s">
        <v>691</v>
      </c>
    </row>
    <row r="20" spans="2:4" ht="20" customHeight="1" x14ac:dyDescent="0.35">
      <c r="C20" s="6" t="s">
        <v>692</v>
      </c>
    </row>
    <row r="21" spans="2:4" ht="20" customHeight="1" x14ac:dyDescent="0.35">
      <c r="C21" s="6" t="s">
        <v>693</v>
      </c>
    </row>
    <row r="22" spans="2:4" ht="130.5" customHeight="1" x14ac:dyDescent="0.35">
      <c r="B22" s="13" t="s">
        <v>1051</v>
      </c>
      <c r="C22" s="48" t="s">
        <v>1052</v>
      </c>
      <c r="D22" s="48"/>
    </row>
    <row r="23" spans="2:4" ht="30" customHeight="1" x14ac:dyDescent="0.35">
      <c r="B23" s="11" t="s">
        <v>1053</v>
      </c>
      <c r="C23" s="5" t="s">
        <v>697</v>
      </c>
    </row>
    <row r="24" spans="2:4" ht="30" customHeight="1" x14ac:dyDescent="0.35">
      <c r="C24" s="5" t="s">
        <v>698</v>
      </c>
    </row>
    <row r="25" spans="2:4" ht="30" customHeight="1" x14ac:dyDescent="0.35">
      <c r="C25" s="5" t="s">
        <v>699</v>
      </c>
    </row>
    <row r="26" spans="2:4" ht="30" customHeight="1" x14ac:dyDescent="0.35">
      <c r="C26" s="5" t="s">
        <v>700</v>
      </c>
    </row>
    <row r="27" spans="2:4" ht="30" customHeight="1" x14ac:dyDescent="0.35">
      <c r="C27" s="5" t="s">
        <v>701</v>
      </c>
    </row>
    <row r="28" spans="2:4" ht="30" customHeight="1" x14ac:dyDescent="0.35">
      <c r="C28" s="6" t="s">
        <v>702</v>
      </c>
    </row>
    <row r="29" spans="2:4" ht="30" customHeight="1" x14ac:dyDescent="0.35">
      <c r="C29" s="5" t="s">
        <v>703</v>
      </c>
    </row>
    <row r="30" spans="2:4" ht="30" customHeight="1" x14ac:dyDescent="0.35">
      <c r="C30" s="5" t="s">
        <v>704</v>
      </c>
    </row>
    <row r="31" spans="2:4" ht="30" customHeight="1" x14ac:dyDescent="0.35">
      <c r="C31" s="5" t="s">
        <v>705</v>
      </c>
    </row>
    <row r="32" spans="2:4" ht="30" customHeight="1" x14ac:dyDescent="0.35">
      <c r="C32" s="5" t="s">
        <v>706</v>
      </c>
    </row>
    <row r="33" spans="2:4" ht="58" customHeight="1" x14ac:dyDescent="0.35">
      <c r="B33" s="11" t="s">
        <v>1054</v>
      </c>
      <c r="C33" s="48" t="s">
        <v>681</v>
      </c>
      <c r="D33" s="48"/>
    </row>
    <row r="34" spans="2:4" ht="20" customHeight="1" x14ac:dyDescent="0.35">
      <c r="B34" s="11" t="s">
        <v>1055</v>
      </c>
      <c r="C34" s="6" t="s">
        <v>1056</v>
      </c>
    </row>
    <row r="35" spans="2:4" ht="20" customHeight="1" x14ac:dyDescent="0.35">
      <c r="B35" s="11" t="s">
        <v>60</v>
      </c>
      <c r="C35" s="6" t="s">
        <v>1057</v>
      </c>
    </row>
    <row r="36" spans="2:4" ht="20" customHeight="1" x14ac:dyDescent="0.35">
      <c r="B36" s="11" t="s">
        <v>1058</v>
      </c>
      <c r="C36" s="6" t="s">
        <v>929</v>
      </c>
    </row>
    <row r="37" spans="2:4" ht="20" customHeight="1" x14ac:dyDescent="0.35">
      <c r="B37" s="11" t="s">
        <v>98</v>
      </c>
      <c r="C37" s="6" t="s">
        <v>934</v>
      </c>
    </row>
    <row r="38" spans="2:4" ht="20" customHeight="1" x14ac:dyDescent="0.35">
      <c r="B38" s="11" t="s">
        <v>139</v>
      </c>
      <c r="C38" s="6" t="s">
        <v>935</v>
      </c>
    </row>
    <row r="39" spans="2:4" ht="20" customHeight="1" x14ac:dyDescent="0.35">
      <c r="B39" s="11" t="s">
        <v>936</v>
      </c>
      <c r="C39" s="6" t="s">
        <v>937</v>
      </c>
    </row>
    <row r="40" spans="2:4" ht="20" customHeight="1" x14ac:dyDescent="0.35">
      <c r="B40" s="11" t="s">
        <v>105</v>
      </c>
      <c r="C40" s="6" t="s">
        <v>830</v>
      </c>
    </row>
    <row r="41" spans="2:4" ht="20" customHeight="1" x14ac:dyDescent="0.35">
      <c r="B41" s="11" t="s">
        <v>83</v>
      </c>
      <c r="C41" s="6" t="s">
        <v>776</v>
      </c>
    </row>
    <row r="42" spans="2:4" ht="20" customHeight="1" x14ac:dyDescent="0.35">
      <c r="B42" s="11" t="s">
        <v>102</v>
      </c>
      <c r="C42" s="6" t="s">
        <v>777</v>
      </c>
    </row>
    <row r="43" spans="2:4" ht="20" customHeight="1" x14ac:dyDescent="0.35">
      <c r="B43" s="11" t="s">
        <v>1059</v>
      </c>
      <c r="C43" s="6" t="s">
        <v>778</v>
      </c>
    </row>
    <row r="44" spans="2:4" ht="20" customHeight="1" x14ac:dyDescent="0.35">
      <c r="B44" s="11" t="s">
        <v>485</v>
      </c>
      <c r="C44" s="6" t="s">
        <v>779</v>
      </c>
    </row>
    <row r="45" spans="2:4" ht="20" customHeight="1" x14ac:dyDescent="0.35">
      <c r="B45" s="11" t="s">
        <v>490</v>
      </c>
      <c r="C45" s="6" t="s">
        <v>780</v>
      </c>
    </row>
    <row r="46" spans="2:4" ht="20" customHeight="1" x14ac:dyDescent="0.35">
      <c r="B46" s="11" t="s">
        <v>769</v>
      </c>
      <c r="C46" s="6" t="s">
        <v>860</v>
      </c>
    </row>
    <row r="47" spans="2:4" ht="20" customHeight="1" x14ac:dyDescent="0.35">
      <c r="B47" s="11" t="s">
        <v>735</v>
      </c>
      <c r="C47" s="6" t="s">
        <v>770</v>
      </c>
    </row>
    <row r="48" spans="2:4" ht="20" customHeight="1" x14ac:dyDescent="0.35">
      <c r="B48" s="11" t="s">
        <v>736</v>
      </c>
      <c r="C48" s="6" t="s">
        <v>771</v>
      </c>
    </row>
    <row r="49" spans="2:3" ht="20" customHeight="1" x14ac:dyDescent="0.35">
      <c r="B49" s="11" t="s">
        <v>153</v>
      </c>
      <c r="C49" s="6" t="s">
        <v>774</v>
      </c>
    </row>
    <row r="50" spans="2:3" ht="20" customHeight="1" x14ac:dyDescent="0.35">
      <c r="B50" s="11" t="s">
        <v>164</v>
      </c>
      <c r="C50" s="6" t="s">
        <v>775</v>
      </c>
    </row>
    <row r="51" spans="2:3" ht="20" customHeight="1" x14ac:dyDescent="0.35">
      <c r="B51" s="11" t="s">
        <v>459</v>
      </c>
      <c r="C51" s="6" t="s">
        <v>772</v>
      </c>
    </row>
    <row r="52" spans="2:3" ht="20" customHeight="1" x14ac:dyDescent="0.35">
      <c r="B52" s="11" t="s">
        <v>469</v>
      </c>
      <c r="C52" s="6" t="s">
        <v>773</v>
      </c>
    </row>
    <row r="53" spans="2:3" ht="20" customHeight="1" x14ac:dyDescent="0.35">
      <c r="B53" s="11" t="s">
        <v>27</v>
      </c>
      <c r="C53" s="6" t="s">
        <v>923</v>
      </c>
    </row>
    <row r="54" spans="2:3" ht="20" customHeight="1" x14ac:dyDescent="0.35">
      <c r="B54" s="11" t="s">
        <v>882</v>
      </c>
      <c r="C54" s="6" t="s">
        <v>955</v>
      </c>
    </row>
    <row r="55" spans="2:3" ht="20" customHeight="1" x14ac:dyDescent="0.35">
      <c r="B55" s="11" t="s">
        <v>885</v>
      </c>
      <c r="C55" s="6" t="s">
        <v>956</v>
      </c>
    </row>
    <row r="56" spans="2:3" ht="20" customHeight="1" x14ac:dyDescent="0.35">
      <c r="B56" s="11" t="s">
        <v>883</v>
      </c>
      <c r="C56" s="6" t="s">
        <v>957</v>
      </c>
    </row>
    <row r="57" spans="2:3" ht="20" customHeight="1" x14ac:dyDescent="0.35">
      <c r="B57" s="11" t="s">
        <v>884</v>
      </c>
      <c r="C57" s="6" t="s">
        <v>958</v>
      </c>
    </row>
    <row r="58" spans="2:3" ht="20" customHeight="1" x14ac:dyDescent="0.35">
      <c r="B58" s="11" t="s">
        <v>916</v>
      </c>
      <c r="C58" s="6" t="s">
        <v>917</v>
      </c>
    </row>
    <row r="59" spans="2:3" ht="20" customHeight="1" x14ac:dyDescent="0.35">
      <c r="B59" s="11" t="s">
        <v>1060</v>
      </c>
      <c r="C59" s="6" t="s">
        <v>969</v>
      </c>
    </row>
    <row r="60" spans="2:3" ht="20" customHeight="1" x14ac:dyDescent="0.35">
      <c r="B60" s="11" t="s">
        <v>1061</v>
      </c>
      <c r="C60" s="6" t="s">
        <v>971</v>
      </c>
    </row>
    <row r="61" spans="2:3" ht="20" customHeight="1" x14ac:dyDescent="0.35">
      <c r="B61" s="11" t="s">
        <v>1062</v>
      </c>
      <c r="C61" s="6" t="s">
        <v>973</v>
      </c>
    </row>
    <row r="62" spans="2:3" ht="30" customHeight="1" x14ac:dyDescent="0.35">
      <c r="B62" s="11" t="s">
        <v>682</v>
      </c>
      <c r="C62" s="5" t="s">
        <v>1063</v>
      </c>
    </row>
    <row r="63" spans="2:3" ht="20" customHeight="1" x14ac:dyDescent="0.35">
      <c r="B63" s="11" t="s">
        <v>1064</v>
      </c>
      <c r="C63" s="6" t="s">
        <v>1065</v>
      </c>
    </row>
    <row r="64" spans="2:3" ht="20" customHeight="1" x14ac:dyDescent="0.35">
      <c r="B64" s="11" t="s">
        <v>1066</v>
      </c>
      <c r="C64" s="6" t="s">
        <v>1067</v>
      </c>
    </row>
    <row r="65" spans="2:3" ht="20" customHeight="1" x14ac:dyDescent="0.35">
      <c r="B65" s="11" t="s">
        <v>1068</v>
      </c>
      <c r="C65" s="6" t="s">
        <v>1069</v>
      </c>
    </row>
    <row r="66" spans="2:3" ht="39" x14ac:dyDescent="0.35">
      <c r="B66" s="11" t="s">
        <v>1070</v>
      </c>
      <c r="C66" s="17" t="s">
        <v>683</v>
      </c>
    </row>
  </sheetData>
  <mergeCells count="3">
    <mergeCell ref="C22:D22"/>
    <mergeCell ref="C33:D33"/>
    <mergeCell ref="B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
  <sheetViews>
    <sheetView workbookViewId="0">
      <selection activeCell="B1" sqref="B1:C1"/>
    </sheetView>
  </sheetViews>
  <sheetFormatPr defaultRowHeight="14.5" x14ac:dyDescent="0.35"/>
  <cols>
    <col min="1" max="1" width="2.6328125" style="31" customWidth="1"/>
    <col min="2" max="2" width="28.08984375" customWidth="1"/>
    <col min="3" max="3" width="79.36328125" customWidth="1"/>
  </cols>
  <sheetData>
    <row r="1" spans="2:3" ht="45" customHeight="1" thickBot="1" x14ac:dyDescent="0.4">
      <c r="B1" s="52" t="s">
        <v>707</v>
      </c>
      <c r="C1" s="53"/>
    </row>
    <row r="3" spans="2:3" ht="22" customHeight="1" x14ac:dyDescent="0.35">
      <c r="B3" s="3" t="s">
        <v>708</v>
      </c>
      <c r="C3" s="3"/>
    </row>
    <row r="4" spans="2:3" ht="20" customHeight="1" x14ac:dyDescent="0.35">
      <c r="B4" s="7" t="s">
        <v>709</v>
      </c>
      <c r="C4" s="4" t="s">
        <v>710</v>
      </c>
    </row>
    <row r="5" spans="2:3" ht="20" customHeight="1" x14ac:dyDescent="0.35">
      <c r="B5" s="7" t="s">
        <v>711</v>
      </c>
      <c r="C5" s="4" t="s">
        <v>722</v>
      </c>
    </row>
    <row r="6" spans="2:3" ht="20" customHeight="1" x14ac:dyDescent="0.35">
      <c r="B6" s="7" t="s">
        <v>1</v>
      </c>
      <c r="C6" s="4" t="s">
        <v>723</v>
      </c>
    </row>
    <row r="7" spans="2:3" ht="20" customHeight="1" x14ac:dyDescent="0.35">
      <c r="B7" s="7" t="s">
        <v>2</v>
      </c>
      <c r="C7" s="4" t="s">
        <v>724</v>
      </c>
    </row>
    <row r="8" spans="2:3" ht="20" customHeight="1" x14ac:dyDescent="0.35">
      <c r="B8" s="7" t="s">
        <v>3</v>
      </c>
      <c r="C8" s="4" t="s">
        <v>725</v>
      </c>
    </row>
    <row r="9" spans="2:3" ht="20" customHeight="1" x14ac:dyDescent="0.35">
      <c r="B9" s="7" t="s">
        <v>4</v>
      </c>
      <c r="C9" s="4" t="s">
        <v>4</v>
      </c>
    </row>
    <row r="10" spans="2:3" ht="20" customHeight="1" x14ac:dyDescent="0.35">
      <c r="B10" s="7" t="s">
        <v>5</v>
      </c>
      <c r="C10" s="4" t="s">
        <v>726</v>
      </c>
    </row>
    <row r="11" spans="2:3" ht="20" customHeight="1" x14ac:dyDescent="0.35">
      <c r="B11" s="7" t="s">
        <v>6</v>
      </c>
      <c r="C11" s="4" t="s">
        <v>727</v>
      </c>
    </row>
    <row r="12" spans="2:3" ht="20" customHeight="1" x14ac:dyDescent="0.35">
      <c r="B12" s="7" t="s">
        <v>7</v>
      </c>
      <c r="C12" s="4" t="s">
        <v>728</v>
      </c>
    </row>
    <row r="13" spans="2:3" ht="20" customHeight="1" x14ac:dyDescent="0.35">
      <c r="B13" s="7" t="s">
        <v>8</v>
      </c>
      <c r="C13" s="4" t="s">
        <v>729</v>
      </c>
    </row>
    <row r="14" spans="2:3" ht="20" customHeight="1" x14ac:dyDescent="0.35">
      <c r="B14" s="7" t="s">
        <v>9</v>
      </c>
      <c r="C14" s="4" t="s">
        <v>730</v>
      </c>
    </row>
    <row r="15" spans="2:3" ht="20" customHeight="1" x14ac:dyDescent="0.35">
      <c r="B15" s="7" t="s">
        <v>10</v>
      </c>
      <c r="C15" s="4" t="s">
        <v>731</v>
      </c>
    </row>
    <row r="16" spans="2:3" ht="20" customHeight="1" x14ac:dyDescent="0.35">
      <c r="B16" s="7" t="s">
        <v>11</v>
      </c>
      <c r="C16" s="4" t="s">
        <v>732</v>
      </c>
    </row>
    <row r="17" spans="2:3" ht="20" customHeight="1" x14ac:dyDescent="0.35">
      <c r="B17" s="7" t="s">
        <v>12</v>
      </c>
      <c r="C17" s="4" t="s">
        <v>733</v>
      </c>
    </row>
    <row r="18" spans="2:3" ht="20" customHeight="1" x14ac:dyDescent="0.35">
      <c r="B18" s="7" t="s">
        <v>712</v>
      </c>
      <c r="C18" s="4" t="s">
        <v>734</v>
      </c>
    </row>
    <row r="19" spans="2:3" ht="20" customHeight="1" x14ac:dyDescent="0.35">
      <c r="B19" s="7" t="s">
        <v>713</v>
      </c>
      <c r="C19" s="4" t="s">
        <v>735</v>
      </c>
    </row>
    <row r="20" spans="2:3" ht="20" customHeight="1" x14ac:dyDescent="0.35">
      <c r="B20" s="7" t="s">
        <v>714</v>
      </c>
      <c r="C20" s="4" t="s">
        <v>736</v>
      </c>
    </row>
    <row r="21" spans="2:3" ht="20" customHeight="1" x14ac:dyDescent="0.35">
      <c r="B21" s="7" t="s">
        <v>715</v>
      </c>
      <c r="C21" s="4" t="s">
        <v>737</v>
      </c>
    </row>
    <row r="22" spans="2:3" ht="20" customHeight="1" x14ac:dyDescent="0.35">
      <c r="B22" s="7" t="s">
        <v>716</v>
      </c>
      <c r="C22" s="4" t="s">
        <v>738</v>
      </c>
    </row>
    <row r="23" spans="2:3" ht="20" customHeight="1" x14ac:dyDescent="0.35">
      <c r="B23" s="7" t="s">
        <v>717</v>
      </c>
      <c r="C23" s="4" t="s">
        <v>739</v>
      </c>
    </row>
    <row r="24" spans="2:3" ht="20" customHeight="1" x14ac:dyDescent="0.35">
      <c r="B24" s="7" t="s">
        <v>718</v>
      </c>
      <c r="C24" s="4" t="s">
        <v>740</v>
      </c>
    </row>
    <row r="25" spans="2:3" ht="20" customHeight="1" x14ac:dyDescent="0.35">
      <c r="B25" s="7" t="s">
        <v>719</v>
      </c>
      <c r="C25" s="4" t="s">
        <v>741</v>
      </c>
    </row>
    <row r="26" spans="2:3" ht="20" customHeight="1" x14ac:dyDescent="0.35">
      <c r="B26" s="7"/>
      <c r="C26" s="4"/>
    </row>
    <row r="27" spans="2:3" ht="22" customHeight="1" x14ac:dyDescent="0.35">
      <c r="B27" s="3" t="s">
        <v>742</v>
      </c>
      <c r="C27" s="3"/>
    </row>
    <row r="28" spans="2:3" ht="20" customHeight="1" x14ac:dyDescent="0.35">
      <c r="B28" s="7" t="s">
        <v>19</v>
      </c>
      <c r="C28" s="4" t="s">
        <v>743</v>
      </c>
    </row>
    <row r="29" spans="2:3" ht="20" customHeight="1" x14ac:dyDescent="0.35">
      <c r="B29" s="7" t="s">
        <v>26</v>
      </c>
      <c r="C29" s="4" t="s">
        <v>27</v>
      </c>
    </row>
    <row r="30" spans="2:3" ht="20" customHeight="1" x14ac:dyDescent="0.35">
      <c r="B30" s="7" t="s">
        <v>82</v>
      </c>
      <c r="C30" s="4" t="s">
        <v>744</v>
      </c>
    </row>
    <row r="31" spans="2:3" ht="20" customHeight="1" x14ac:dyDescent="0.35">
      <c r="B31" s="7" t="s">
        <v>65</v>
      </c>
      <c r="C31" s="4" t="s">
        <v>745</v>
      </c>
    </row>
    <row r="32" spans="2:3" ht="20" customHeight="1" x14ac:dyDescent="0.35">
      <c r="B32" s="7" t="s">
        <v>112</v>
      </c>
      <c r="C32" s="4" t="s">
        <v>746</v>
      </c>
    </row>
    <row r="33" spans="2:3" ht="20" customHeight="1" x14ac:dyDescent="0.35">
      <c r="B33" s="7" t="s">
        <v>261</v>
      </c>
      <c r="C33" s="4" t="s">
        <v>747</v>
      </c>
    </row>
    <row r="34" spans="2:3" ht="20" customHeight="1" x14ac:dyDescent="0.35">
      <c r="B34" s="7"/>
      <c r="C34" s="4"/>
    </row>
    <row r="35" spans="2:3" ht="22" customHeight="1" x14ac:dyDescent="0.35">
      <c r="B35" s="3" t="s">
        <v>748</v>
      </c>
      <c r="C35" s="3"/>
    </row>
    <row r="36" spans="2:3" ht="20" customHeight="1" x14ac:dyDescent="0.35">
      <c r="B36" s="7" t="s">
        <v>521</v>
      </c>
      <c r="C36" s="4" t="s">
        <v>749</v>
      </c>
    </row>
    <row r="37" spans="2:3" ht="20" customHeight="1" x14ac:dyDescent="0.35">
      <c r="B37" s="7" t="s">
        <v>522</v>
      </c>
      <c r="C37" s="4" t="s">
        <v>750</v>
      </c>
    </row>
    <row r="38" spans="2:3" ht="20" customHeight="1" x14ac:dyDescent="0.35">
      <c r="B38" s="7" t="s">
        <v>460</v>
      </c>
      <c r="C38" s="4" t="s">
        <v>751</v>
      </c>
    </row>
    <row r="39" spans="2:3" ht="20" customHeight="1" x14ac:dyDescent="0.35">
      <c r="B39" s="7" t="s">
        <v>86</v>
      </c>
      <c r="C39" s="4" t="s">
        <v>752</v>
      </c>
    </row>
    <row r="40" spans="2:3" x14ac:dyDescent="0.35">
      <c r="B40" s="7"/>
      <c r="C40" s="4"/>
    </row>
    <row r="41" spans="2:3" ht="22" customHeight="1" x14ac:dyDescent="0.35">
      <c r="B41" s="3" t="s">
        <v>753</v>
      </c>
      <c r="C41" s="3"/>
    </row>
    <row r="42" spans="2:3" ht="20" customHeight="1" x14ac:dyDescent="0.35">
      <c r="B42" s="7" t="s">
        <v>720</v>
      </c>
      <c r="C42" s="4" t="s">
        <v>754</v>
      </c>
    </row>
    <row r="43" spans="2:3" ht="20" customHeight="1" x14ac:dyDescent="0.35">
      <c r="B43" s="7" t="s">
        <v>721</v>
      </c>
      <c r="C43" s="4" t="s">
        <v>755</v>
      </c>
    </row>
    <row r="44" spans="2:3" ht="20" customHeight="1" x14ac:dyDescent="0.35">
      <c r="B44" s="7" t="s">
        <v>98</v>
      </c>
      <c r="C44" s="4" t="s">
        <v>756</v>
      </c>
    </row>
    <row r="45" spans="2:3" ht="20" customHeight="1" x14ac:dyDescent="0.35">
      <c r="B45" s="7" t="s">
        <v>139</v>
      </c>
      <c r="C45" s="4" t="s">
        <v>755</v>
      </c>
    </row>
    <row r="46" spans="2:3" ht="20" customHeight="1" x14ac:dyDescent="0.35">
      <c r="B46" s="7" t="s">
        <v>105</v>
      </c>
      <c r="C46" s="4" t="s">
        <v>757</v>
      </c>
    </row>
  </sheetData>
  <mergeCells count="1">
    <mergeCell ref="B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50"/>
  <sheetViews>
    <sheetView topLeftCell="A2" workbookViewId="0"/>
  </sheetViews>
  <sheetFormatPr defaultRowHeight="14.5" x14ac:dyDescent="0.35"/>
  <cols>
    <col min="1" max="1" width="13.54296875" customWidth="1"/>
    <col min="2" max="2" width="13.08984375" customWidth="1"/>
    <col min="3" max="3" width="10.6328125" bestFit="1" customWidth="1"/>
    <col min="4" max="4" width="10.36328125" customWidth="1"/>
    <col min="5" max="5" width="13.6328125" customWidth="1"/>
    <col min="6" max="6" width="14.7265625" customWidth="1"/>
    <col min="7" max="7" width="22.6328125" customWidth="1"/>
    <col min="8" max="8" width="13.54296875" customWidth="1"/>
    <col min="9" max="9" width="10.54296875" customWidth="1"/>
    <col min="10" max="10" width="19.08984375" customWidth="1"/>
    <col min="11" max="11" width="17.81640625" customWidth="1"/>
    <col min="12" max="12" width="33.54296875" bestFit="1" customWidth="1"/>
    <col min="13" max="13" width="14.6328125" customWidth="1"/>
    <col min="14" max="14" width="21.36328125" customWidth="1"/>
    <col min="15" max="15" width="19.90625" customWidth="1"/>
    <col min="16" max="16" width="19.81640625" customWidth="1"/>
    <col min="17" max="17" width="21.1796875" customWidth="1"/>
    <col min="18" max="18" width="24.26953125" customWidth="1"/>
    <col min="19" max="19" width="30.08984375" customWidth="1"/>
    <col min="20" max="20" width="27.81640625" customWidth="1"/>
    <col min="21" max="21" width="25.90625" customWidth="1"/>
  </cols>
  <sheetData>
    <row r="1" spans="1:21" s="18" customFormat="1" ht="22" customHeight="1" x14ac:dyDescent="0.35">
      <c r="A1" s="39" t="s">
        <v>0</v>
      </c>
      <c r="B1" s="39" t="s">
        <v>1</v>
      </c>
      <c r="C1" s="39" t="s">
        <v>2</v>
      </c>
      <c r="D1" s="39" t="s">
        <v>3</v>
      </c>
      <c r="E1" s="39" t="s">
        <v>4</v>
      </c>
      <c r="F1" s="39" t="s">
        <v>5</v>
      </c>
      <c r="G1" s="39" t="s">
        <v>6</v>
      </c>
      <c r="H1" s="39" t="s">
        <v>7</v>
      </c>
      <c r="I1" s="39" t="s">
        <v>8</v>
      </c>
      <c r="J1" s="39" t="s">
        <v>9</v>
      </c>
      <c r="K1" s="39" t="s">
        <v>10</v>
      </c>
      <c r="L1" s="39" t="s">
        <v>11</v>
      </c>
      <c r="M1" s="39" t="s">
        <v>12</v>
      </c>
      <c r="N1" s="39" t="s">
        <v>13</v>
      </c>
      <c r="O1" s="39" t="s">
        <v>14</v>
      </c>
      <c r="P1" s="39" t="s">
        <v>15</v>
      </c>
      <c r="Q1" s="39" t="s">
        <v>517</v>
      </c>
      <c r="R1" s="39" t="s">
        <v>507</v>
      </c>
      <c r="S1" s="39" t="s">
        <v>518</v>
      </c>
      <c r="T1" s="39" t="s">
        <v>519</v>
      </c>
      <c r="U1" s="39" t="s">
        <v>520</v>
      </c>
    </row>
    <row r="2" spans="1:21" s="16" customFormat="1" ht="20" customHeight="1" x14ac:dyDescent="0.35">
      <c r="A2" s="16" t="s">
        <v>16</v>
      </c>
      <c r="B2" s="28">
        <v>46049</v>
      </c>
      <c r="C2" s="16" t="s">
        <v>17</v>
      </c>
      <c r="D2" s="16" t="s">
        <v>18</v>
      </c>
      <c r="E2" s="29">
        <v>46023</v>
      </c>
      <c r="F2" s="16" t="s">
        <v>19</v>
      </c>
      <c r="G2" s="16" t="s">
        <v>20</v>
      </c>
      <c r="H2" s="16">
        <v>125</v>
      </c>
      <c r="I2" s="16" t="s">
        <v>21</v>
      </c>
      <c r="J2" s="16" t="s">
        <v>22</v>
      </c>
      <c r="K2" s="16" t="s">
        <v>521</v>
      </c>
      <c r="L2" s="16" t="s">
        <v>23</v>
      </c>
      <c r="M2" s="16" t="s">
        <v>24</v>
      </c>
      <c r="N2" s="16">
        <v>0</v>
      </c>
      <c r="O2" s="16">
        <v>0</v>
      </c>
      <c r="P2" s="16">
        <v>0</v>
      </c>
      <c r="Q2" s="16">
        <f t="shared" ref="Q2:Q65" si="0">IF(AND(OR(F2="Work",F2="Adjustment"),OR(ISNUMBER(SEARCH("Excavation",G2)),G2="Excavation Repair")),IF(K2="Chairman Street",800,IF(K2="INEC Street",1000,0)),0)</f>
        <v>0</v>
      </c>
      <c r="R2" s="16">
        <f t="shared" ref="R2:R65" si="1">IF(AND(OR(F2="Work", F2="Adjustment"), OR(ISNUMBER(SEARCH("Excavation", G2)), G2="Excavation Repair")), H2 * IF(K2="Site A", 800, IF(K2="Site B", 1000, 0)), 0)</f>
        <v>100000</v>
      </c>
      <c r="S2" s="16">
        <f t="shared" ref="S2:S65" si="2">IF(G2="Base Casting",H2*500,0)</f>
        <v>0</v>
      </c>
      <c r="T2" s="30">
        <f t="shared" ref="T2:T65" si="3">IF(G2="Wall Casting",H2*1000,0)</f>
        <v>0</v>
      </c>
      <c r="U2" s="30">
        <f t="shared" ref="U2:U65" si="4">IF(G2="Water Supply",H2*1000,0)</f>
        <v>0</v>
      </c>
    </row>
    <row r="3" spans="1:21" s="16" customFormat="1" ht="20" customHeight="1" x14ac:dyDescent="0.35">
      <c r="A3" s="16" t="s">
        <v>25</v>
      </c>
      <c r="B3" s="28">
        <v>46049</v>
      </c>
      <c r="C3" s="16" t="s">
        <v>17</v>
      </c>
      <c r="D3" s="16" t="s">
        <v>18</v>
      </c>
      <c r="E3" s="29">
        <v>46023</v>
      </c>
      <c r="F3" s="16" t="s">
        <v>26</v>
      </c>
      <c r="G3" s="16" t="s">
        <v>27</v>
      </c>
      <c r="H3" s="16">
        <v>15000</v>
      </c>
      <c r="I3" s="16" t="s">
        <v>28</v>
      </c>
      <c r="J3" s="16" t="s">
        <v>29</v>
      </c>
      <c r="K3" s="16" t="s">
        <v>521</v>
      </c>
      <c r="L3" s="16" t="s">
        <v>30</v>
      </c>
      <c r="M3" s="16" t="s">
        <v>24</v>
      </c>
      <c r="N3" s="16">
        <v>15000</v>
      </c>
      <c r="O3" s="16">
        <v>0</v>
      </c>
      <c r="P3" s="16">
        <v>0</v>
      </c>
      <c r="Q3" s="16">
        <f t="shared" si="0"/>
        <v>0</v>
      </c>
      <c r="R3" s="16">
        <f t="shared" si="1"/>
        <v>0</v>
      </c>
      <c r="S3" s="16">
        <f t="shared" si="2"/>
        <v>0</v>
      </c>
      <c r="T3" s="30">
        <f t="shared" si="3"/>
        <v>0</v>
      </c>
      <c r="U3" s="30">
        <f t="shared" si="4"/>
        <v>0</v>
      </c>
    </row>
    <row r="4" spans="1:21" s="16" customFormat="1" ht="20" customHeight="1" x14ac:dyDescent="0.35">
      <c r="A4" s="16" t="s">
        <v>31</v>
      </c>
      <c r="B4" s="28">
        <v>46050</v>
      </c>
      <c r="C4" s="16" t="s">
        <v>32</v>
      </c>
      <c r="D4" s="16" t="s">
        <v>18</v>
      </c>
      <c r="E4" s="29">
        <v>46023</v>
      </c>
      <c r="F4" s="16" t="s">
        <v>19</v>
      </c>
      <c r="G4" s="16" t="s">
        <v>20</v>
      </c>
      <c r="H4" s="16">
        <v>163.4</v>
      </c>
      <c r="I4" s="16" t="s">
        <v>21</v>
      </c>
      <c r="J4" s="16" t="s">
        <v>22</v>
      </c>
      <c r="K4" s="16" t="s">
        <v>521</v>
      </c>
      <c r="L4" s="16" t="s">
        <v>33</v>
      </c>
      <c r="M4" s="16" t="s">
        <v>24</v>
      </c>
      <c r="N4" s="16">
        <v>0</v>
      </c>
      <c r="O4" s="16">
        <v>0</v>
      </c>
      <c r="P4" s="16">
        <v>0</v>
      </c>
      <c r="Q4" s="16">
        <f t="shared" si="0"/>
        <v>0</v>
      </c>
      <c r="R4" s="16">
        <f t="shared" si="1"/>
        <v>130720</v>
      </c>
      <c r="S4" s="16">
        <f t="shared" si="2"/>
        <v>0</v>
      </c>
      <c r="T4" s="30">
        <f t="shared" si="3"/>
        <v>0</v>
      </c>
      <c r="U4" s="30">
        <f t="shared" si="4"/>
        <v>0</v>
      </c>
    </row>
    <row r="5" spans="1:21" s="16" customFormat="1" ht="20" customHeight="1" x14ac:dyDescent="0.35">
      <c r="A5" s="16" t="s">
        <v>34</v>
      </c>
      <c r="B5" s="28">
        <v>46050</v>
      </c>
      <c r="C5" s="16" t="s">
        <v>32</v>
      </c>
      <c r="D5" s="16" t="s">
        <v>18</v>
      </c>
      <c r="E5" s="29">
        <v>46023</v>
      </c>
      <c r="F5" s="16" t="s">
        <v>26</v>
      </c>
      <c r="G5" s="16" t="s">
        <v>27</v>
      </c>
      <c r="H5" s="16">
        <v>18000</v>
      </c>
      <c r="I5" s="16" t="s">
        <v>28</v>
      </c>
      <c r="J5" s="16" t="s">
        <v>29</v>
      </c>
      <c r="K5" s="16" t="s">
        <v>521</v>
      </c>
      <c r="L5" s="16" t="s">
        <v>30</v>
      </c>
      <c r="M5" s="16" t="s">
        <v>24</v>
      </c>
      <c r="N5" s="16">
        <v>18000</v>
      </c>
      <c r="O5" s="16">
        <v>0</v>
      </c>
      <c r="P5" s="16">
        <v>0</v>
      </c>
      <c r="Q5" s="16">
        <f t="shared" si="0"/>
        <v>0</v>
      </c>
      <c r="R5" s="16">
        <f t="shared" si="1"/>
        <v>0</v>
      </c>
      <c r="S5" s="16">
        <f t="shared" si="2"/>
        <v>0</v>
      </c>
      <c r="T5" s="30">
        <f t="shared" si="3"/>
        <v>0</v>
      </c>
      <c r="U5" s="30">
        <f t="shared" si="4"/>
        <v>0</v>
      </c>
    </row>
    <row r="6" spans="1:21" s="16" customFormat="1" ht="20" customHeight="1" x14ac:dyDescent="0.35">
      <c r="A6" s="16" t="s">
        <v>35</v>
      </c>
      <c r="B6" s="28">
        <v>46051</v>
      </c>
      <c r="C6" s="16" t="s">
        <v>36</v>
      </c>
      <c r="D6" s="16" t="s">
        <v>18</v>
      </c>
      <c r="E6" s="29">
        <v>46023</v>
      </c>
      <c r="F6" s="16" t="s">
        <v>19</v>
      </c>
      <c r="G6" s="16" t="s">
        <v>20</v>
      </c>
      <c r="H6" s="16">
        <v>165</v>
      </c>
      <c r="I6" s="16" t="s">
        <v>21</v>
      </c>
      <c r="J6" s="16" t="s">
        <v>22</v>
      </c>
      <c r="K6" s="16" t="s">
        <v>521</v>
      </c>
      <c r="L6" s="16" t="s">
        <v>33</v>
      </c>
      <c r="M6" s="16" t="s">
        <v>24</v>
      </c>
      <c r="N6" s="16">
        <v>0</v>
      </c>
      <c r="O6" s="16">
        <v>0</v>
      </c>
      <c r="P6" s="16">
        <v>0</v>
      </c>
      <c r="Q6" s="16">
        <f t="shared" si="0"/>
        <v>0</v>
      </c>
      <c r="R6" s="16">
        <f t="shared" si="1"/>
        <v>132000</v>
      </c>
      <c r="S6" s="16">
        <f t="shared" si="2"/>
        <v>0</v>
      </c>
      <c r="T6" s="30">
        <f t="shared" si="3"/>
        <v>0</v>
      </c>
      <c r="U6" s="30">
        <f t="shared" si="4"/>
        <v>0</v>
      </c>
    </row>
    <row r="7" spans="1:21" s="16" customFormat="1" ht="20" customHeight="1" x14ac:dyDescent="0.35">
      <c r="A7" s="16" t="s">
        <v>37</v>
      </c>
      <c r="B7" s="28">
        <v>46051</v>
      </c>
      <c r="C7" s="16" t="s">
        <v>36</v>
      </c>
      <c r="D7" s="16" t="s">
        <v>18</v>
      </c>
      <c r="E7" s="29">
        <v>46023</v>
      </c>
      <c r="F7" s="16" t="s">
        <v>26</v>
      </c>
      <c r="G7" s="16" t="s">
        <v>27</v>
      </c>
      <c r="H7" s="16">
        <v>18000</v>
      </c>
      <c r="I7" s="16" t="s">
        <v>28</v>
      </c>
      <c r="J7" s="16" t="s">
        <v>29</v>
      </c>
      <c r="K7" s="16" t="s">
        <v>521</v>
      </c>
      <c r="L7" s="16" t="s">
        <v>30</v>
      </c>
      <c r="M7" s="16" t="s">
        <v>24</v>
      </c>
      <c r="N7" s="16">
        <v>18000</v>
      </c>
      <c r="O7" s="16">
        <v>0</v>
      </c>
      <c r="P7" s="16">
        <v>0</v>
      </c>
      <c r="Q7" s="16">
        <f t="shared" si="0"/>
        <v>0</v>
      </c>
      <c r="R7" s="16">
        <f t="shared" si="1"/>
        <v>0</v>
      </c>
      <c r="S7" s="16">
        <f t="shared" si="2"/>
        <v>0</v>
      </c>
      <c r="T7" s="30">
        <f t="shared" si="3"/>
        <v>0</v>
      </c>
      <c r="U7" s="30">
        <f t="shared" si="4"/>
        <v>0</v>
      </c>
    </row>
    <row r="8" spans="1:21" s="16" customFormat="1" ht="20" customHeight="1" x14ac:dyDescent="0.35">
      <c r="A8" s="16" t="s">
        <v>38</v>
      </c>
      <c r="B8" s="28">
        <v>46052</v>
      </c>
      <c r="C8" s="16" t="s">
        <v>39</v>
      </c>
      <c r="D8" s="16" t="s">
        <v>18</v>
      </c>
      <c r="E8" s="29">
        <v>46023</v>
      </c>
      <c r="F8" s="16" t="s">
        <v>19</v>
      </c>
      <c r="G8" s="16" t="s">
        <v>20</v>
      </c>
      <c r="H8" s="16">
        <v>122.4</v>
      </c>
      <c r="I8" s="16" t="s">
        <v>21</v>
      </c>
      <c r="J8" s="16" t="s">
        <v>22</v>
      </c>
      <c r="K8" s="16" t="s">
        <v>522</v>
      </c>
      <c r="L8" s="16" t="s">
        <v>33</v>
      </c>
      <c r="M8" s="16" t="s">
        <v>24</v>
      </c>
      <c r="N8" s="16">
        <v>0</v>
      </c>
      <c r="O8" s="16">
        <v>0</v>
      </c>
      <c r="P8" s="16">
        <v>0</v>
      </c>
      <c r="Q8" s="16">
        <f t="shared" si="0"/>
        <v>0</v>
      </c>
      <c r="R8" s="16">
        <f t="shared" si="1"/>
        <v>122400</v>
      </c>
      <c r="S8" s="16">
        <f t="shared" si="2"/>
        <v>0</v>
      </c>
      <c r="T8" s="30">
        <f t="shared" si="3"/>
        <v>0</v>
      </c>
      <c r="U8" s="30">
        <f t="shared" si="4"/>
        <v>0</v>
      </c>
    </row>
    <row r="9" spans="1:21" s="16" customFormat="1" ht="20" customHeight="1" x14ac:dyDescent="0.35">
      <c r="A9" s="16" t="s">
        <v>40</v>
      </c>
      <c r="B9" s="28">
        <v>46052</v>
      </c>
      <c r="C9" s="16" t="s">
        <v>39</v>
      </c>
      <c r="D9" s="16" t="s">
        <v>18</v>
      </c>
      <c r="E9" s="29">
        <v>46023</v>
      </c>
      <c r="F9" s="16" t="s">
        <v>26</v>
      </c>
      <c r="G9" s="16" t="s">
        <v>27</v>
      </c>
      <c r="H9" s="16">
        <v>14000</v>
      </c>
      <c r="I9" s="16" t="s">
        <v>28</v>
      </c>
      <c r="J9" s="16" t="s">
        <v>29</v>
      </c>
      <c r="K9" s="16" t="s">
        <v>522</v>
      </c>
      <c r="L9" s="16" t="s">
        <v>30</v>
      </c>
      <c r="M9" s="16" t="s">
        <v>24</v>
      </c>
      <c r="N9" s="16">
        <v>14000</v>
      </c>
      <c r="O9" s="16">
        <v>0</v>
      </c>
      <c r="P9" s="16">
        <v>0</v>
      </c>
      <c r="Q9" s="16">
        <f t="shared" si="0"/>
        <v>0</v>
      </c>
      <c r="R9" s="16">
        <f t="shared" si="1"/>
        <v>0</v>
      </c>
      <c r="S9" s="16">
        <f t="shared" si="2"/>
        <v>0</v>
      </c>
      <c r="T9" s="30">
        <f t="shared" si="3"/>
        <v>0</v>
      </c>
      <c r="U9" s="30">
        <f t="shared" si="4"/>
        <v>0</v>
      </c>
    </row>
    <row r="10" spans="1:21" s="16" customFormat="1" ht="20" customHeight="1" x14ac:dyDescent="0.35">
      <c r="A10" s="16" t="s">
        <v>41</v>
      </c>
      <c r="B10" s="28">
        <v>46053</v>
      </c>
      <c r="C10" s="16" t="s">
        <v>42</v>
      </c>
      <c r="D10" s="16" t="s">
        <v>18</v>
      </c>
      <c r="E10" s="29">
        <v>46023</v>
      </c>
      <c r="F10" s="16" t="s">
        <v>19</v>
      </c>
      <c r="G10" s="16" t="s">
        <v>20</v>
      </c>
      <c r="H10" s="16">
        <v>169.6</v>
      </c>
      <c r="I10" s="16" t="s">
        <v>21</v>
      </c>
      <c r="J10" s="16" t="s">
        <v>22</v>
      </c>
      <c r="K10" s="16" t="s">
        <v>522</v>
      </c>
      <c r="L10" s="16" t="s">
        <v>33</v>
      </c>
      <c r="M10" s="16" t="s">
        <v>24</v>
      </c>
      <c r="N10" s="16">
        <v>0</v>
      </c>
      <c r="O10" s="16">
        <v>0</v>
      </c>
      <c r="P10" s="16">
        <v>0</v>
      </c>
      <c r="Q10" s="16">
        <f t="shared" si="0"/>
        <v>0</v>
      </c>
      <c r="R10" s="16">
        <f t="shared" si="1"/>
        <v>169600</v>
      </c>
      <c r="S10" s="16">
        <f t="shared" si="2"/>
        <v>0</v>
      </c>
      <c r="T10" s="30">
        <f t="shared" si="3"/>
        <v>0</v>
      </c>
      <c r="U10" s="30">
        <f t="shared" si="4"/>
        <v>0</v>
      </c>
    </row>
    <row r="11" spans="1:21" s="16" customFormat="1" ht="20" customHeight="1" x14ac:dyDescent="0.35">
      <c r="A11" s="16" t="s">
        <v>43</v>
      </c>
      <c r="B11" s="28">
        <v>46053</v>
      </c>
      <c r="C11" s="16" t="s">
        <v>42</v>
      </c>
      <c r="D11" s="16" t="s">
        <v>18</v>
      </c>
      <c r="E11" s="29">
        <v>46023</v>
      </c>
      <c r="F11" s="16" t="s">
        <v>26</v>
      </c>
      <c r="G11" s="16" t="s">
        <v>27</v>
      </c>
      <c r="H11" s="16">
        <v>18000</v>
      </c>
      <c r="I11" s="16" t="s">
        <v>28</v>
      </c>
      <c r="J11" s="16" t="s">
        <v>29</v>
      </c>
      <c r="K11" s="16" t="s">
        <v>522</v>
      </c>
      <c r="L11" s="16" t="s">
        <v>30</v>
      </c>
      <c r="M11" s="16" t="s">
        <v>24</v>
      </c>
      <c r="N11" s="16">
        <v>18000</v>
      </c>
      <c r="O11" s="16">
        <v>0</v>
      </c>
      <c r="P11" s="16">
        <v>0</v>
      </c>
      <c r="Q11" s="16">
        <f t="shared" si="0"/>
        <v>0</v>
      </c>
      <c r="R11" s="16">
        <f t="shared" si="1"/>
        <v>0</v>
      </c>
      <c r="S11" s="16">
        <f t="shared" si="2"/>
        <v>0</v>
      </c>
      <c r="T11" s="30">
        <f t="shared" si="3"/>
        <v>0</v>
      </c>
      <c r="U11" s="30">
        <f t="shared" si="4"/>
        <v>0</v>
      </c>
    </row>
    <row r="12" spans="1:21" s="16" customFormat="1" ht="20" customHeight="1" x14ac:dyDescent="0.35">
      <c r="A12" s="16" t="s">
        <v>44</v>
      </c>
      <c r="B12" s="28">
        <v>46054</v>
      </c>
      <c r="C12" s="16" t="s">
        <v>45</v>
      </c>
      <c r="D12" s="16" t="s">
        <v>18</v>
      </c>
      <c r="E12" s="29">
        <v>46054</v>
      </c>
      <c r="F12" s="16" t="s">
        <v>19</v>
      </c>
      <c r="G12" s="16" t="s">
        <v>20</v>
      </c>
      <c r="H12" s="16">
        <v>64</v>
      </c>
      <c r="I12" s="16" t="s">
        <v>21</v>
      </c>
      <c r="J12" s="16" t="s">
        <v>22</v>
      </c>
      <c r="K12" s="16" t="s">
        <v>522</v>
      </c>
      <c r="L12" s="16" t="s">
        <v>33</v>
      </c>
      <c r="M12" s="16" t="s">
        <v>24</v>
      </c>
      <c r="N12" s="16">
        <v>0</v>
      </c>
      <c r="O12" s="16">
        <v>0</v>
      </c>
      <c r="P12" s="16">
        <v>0</v>
      </c>
      <c r="Q12" s="16">
        <f t="shared" si="0"/>
        <v>0</v>
      </c>
      <c r="R12" s="16">
        <f t="shared" si="1"/>
        <v>64000</v>
      </c>
      <c r="S12" s="16">
        <f t="shared" si="2"/>
        <v>0</v>
      </c>
      <c r="T12" s="30">
        <f t="shared" si="3"/>
        <v>0</v>
      </c>
      <c r="U12" s="30">
        <f t="shared" si="4"/>
        <v>0</v>
      </c>
    </row>
    <row r="13" spans="1:21" s="16" customFormat="1" ht="20" customHeight="1" x14ac:dyDescent="0.35">
      <c r="A13" s="16" t="s">
        <v>46</v>
      </c>
      <c r="B13" s="28">
        <v>46054</v>
      </c>
      <c r="C13" s="16" t="s">
        <v>45</v>
      </c>
      <c r="D13" s="16" t="s">
        <v>18</v>
      </c>
      <c r="E13" s="29">
        <v>46054</v>
      </c>
      <c r="F13" s="16" t="s">
        <v>26</v>
      </c>
      <c r="G13" s="16" t="s">
        <v>27</v>
      </c>
      <c r="H13" s="16">
        <v>8000</v>
      </c>
      <c r="I13" s="16" t="s">
        <v>28</v>
      </c>
      <c r="J13" s="16" t="s">
        <v>29</v>
      </c>
      <c r="K13" s="16" t="s">
        <v>522</v>
      </c>
      <c r="L13" s="16" t="s">
        <v>30</v>
      </c>
      <c r="M13" s="16" t="s">
        <v>24</v>
      </c>
      <c r="N13" s="16">
        <v>8000</v>
      </c>
      <c r="O13" s="16">
        <v>0</v>
      </c>
      <c r="P13" s="16">
        <v>0</v>
      </c>
      <c r="Q13" s="16">
        <f t="shared" si="0"/>
        <v>0</v>
      </c>
      <c r="R13" s="16">
        <f t="shared" si="1"/>
        <v>0</v>
      </c>
      <c r="S13" s="16">
        <f t="shared" si="2"/>
        <v>0</v>
      </c>
      <c r="T13" s="30">
        <f t="shared" si="3"/>
        <v>0</v>
      </c>
      <c r="U13" s="30">
        <f t="shared" si="4"/>
        <v>0</v>
      </c>
    </row>
    <row r="14" spans="1:21" s="16" customFormat="1" ht="20" customHeight="1" x14ac:dyDescent="0.35">
      <c r="A14" s="16" t="s">
        <v>47</v>
      </c>
      <c r="B14" s="28">
        <v>46054</v>
      </c>
      <c r="C14" s="16" t="s">
        <v>45</v>
      </c>
      <c r="D14" s="16" t="s">
        <v>18</v>
      </c>
      <c r="E14" s="29">
        <v>46054</v>
      </c>
      <c r="F14" s="16" t="s">
        <v>19</v>
      </c>
      <c r="G14" s="16" t="s">
        <v>20</v>
      </c>
      <c r="H14" s="16">
        <v>0</v>
      </c>
      <c r="I14" s="16" t="s">
        <v>21</v>
      </c>
      <c r="J14" s="16" t="s">
        <v>22</v>
      </c>
      <c r="K14" s="16" t="s">
        <v>522</v>
      </c>
      <c r="L14" s="16" t="s">
        <v>48</v>
      </c>
      <c r="M14" s="16" t="s">
        <v>24</v>
      </c>
      <c r="N14" s="16">
        <v>0</v>
      </c>
      <c r="O14" s="16">
        <v>0</v>
      </c>
      <c r="P14" s="16">
        <v>0</v>
      </c>
      <c r="Q14" s="16">
        <f t="shared" si="0"/>
        <v>0</v>
      </c>
      <c r="R14" s="16">
        <f t="shared" si="1"/>
        <v>0</v>
      </c>
      <c r="S14" s="16">
        <f t="shared" si="2"/>
        <v>0</v>
      </c>
      <c r="T14" s="30">
        <f t="shared" si="3"/>
        <v>0</v>
      </c>
      <c r="U14" s="30">
        <f t="shared" si="4"/>
        <v>0</v>
      </c>
    </row>
    <row r="15" spans="1:21" s="16" customFormat="1" ht="20" customHeight="1" x14ac:dyDescent="0.35">
      <c r="A15" s="16" t="s">
        <v>49</v>
      </c>
      <c r="B15" s="28">
        <v>46055</v>
      </c>
      <c r="C15" s="16" t="s">
        <v>50</v>
      </c>
      <c r="D15" s="16" t="s">
        <v>51</v>
      </c>
      <c r="E15" s="29">
        <v>46054</v>
      </c>
      <c r="F15" s="16" t="s">
        <v>19</v>
      </c>
      <c r="G15" s="16" t="s">
        <v>20</v>
      </c>
      <c r="H15" s="16">
        <v>152.5</v>
      </c>
      <c r="I15" s="16" t="s">
        <v>21</v>
      </c>
      <c r="J15" s="16" t="s">
        <v>22</v>
      </c>
      <c r="K15" s="16" t="s">
        <v>522</v>
      </c>
      <c r="L15" s="16" t="s">
        <v>33</v>
      </c>
      <c r="M15" s="16" t="s">
        <v>24</v>
      </c>
      <c r="N15" s="16">
        <v>0</v>
      </c>
      <c r="O15" s="16">
        <v>0</v>
      </c>
      <c r="P15" s="16">
        <v>0</v>
      </c>
      <c r="Q15" s="16">
        <f t="shared" si="0"/>
        <v>0</v>
      </c>
      <c r="R15" s="16">
        <f t="shared" si="1"/>
        <v>152500</v>
      </c>
      <c r="S15" s="16">
        <f t="shared" si="2"/>
        <v>0</v>
      </c>
      <c r="T15" s="30">
        <f t="shared" si="3"/>
        <v>0</v>
      </c>
      <c r="U15" s="30">
        <f t="shared" si="4"/>
        <v>0</v>
      </c>
    </row>
    <row r="16" spans="1:21" s="16" customFormat="1" ht="20" customHeight="1" x14ac:dyDescent="0.35">
      <c r="A16" s="16" t="s">
        <v>52</v>
      </c>
      <c r="B16" s="28">
        <v>46055</v>
      </c>
      <c r="C16" s="16" t="s">
        <v>50</v>
      </c>
      <c r="D16" s="16" t="s">
        <v>51</v>
      </c>
      <c r="E16" s="29">
        <v>46054</v>
      </c>
      <c r="F16" s="16" t="s">
        <v>26</v>
      </c>
      <c r="G16" s="16" t="s">
        <v>27</v>
      </c>
      <c r="H16" s="16">
        <v>16000</v>
      </c>
      <c r="I16" s="16" t="s">
        <v>28</v>
      </c>
      <c r="J16" s="16" t="s">
        <v>29</v>
      </c>
      <c r="K16" s="16" t="s">
        <v>522</v>
      </c>
      <c r="L16" s="16" t="s">
        <v>30</v>
      </c>
      <c r="M16" s="16" t="s">
        <v>24</v>
      </c>
      <c r="N16" s="16">
        <v>16000</v>
      </c>
      <c r="O16" s="16">
        <v>0</v>
      </c>
      <c r="P16" s="16">
        <v>0</v>
      </c>
      <c r="Q16" s="16">
        <f t="shared" si="0"/>
        <v>0</v>
      </c>
      <c r="R16" s="16">
        <f t="shared" si="1"/>
        <v>0</v>
      </c>
      <c r="S16" s="16">
        <f t="shared" si="2"/>
        <v>0</v>
      </c>
      <c r="T16" s="30">
        <f t="shared" si="3"/>
        <v>0</v>
      </c>
      <c r="U16" s="30">
        <f t="shared" si="4"/>
        <v>0</v>
      </c>
    </row>
    <row r="17" spans="1:21" s="16" customFormat="1" ht="20" customHeight="1" x14ac:dyDescent="0.35">
      <c r="A17" s="16" t="s">
        <v>53</v>
      </c>
      <c r="B17" s="28">
        <v>46057</v>
      </c>
      <c r="C17" s="16" t="s">
        <v>32</v>
      </c>
      <c r="D17" s="16" t="s">
        <v>51</v>
      </c>
      <c r="E17" s="29">
        <v>46054</v>
      </c>
      <c r="F17" s="16" t="s">
        <v>19</v>
      </c>
      <c r="G17" s="16" t="s">
        <v>20</v>
      </c>
      <c r="H17" s="16">
        <v>17</v>
      </c>
      <c r="I17" s="16" t="s">
        <v>21</v>
      </c>
      <c r="J17" s="16" t="s">
        <v>22</v>
      </c>
      <c r="K17" s="16" t="s">
        <v>522</v>
      </c>
      <c r="L17" s="16" t="s">
        <v>33</v>
      </c>
      <c r="M17" s="16" t="s">
        <v>24</v>
      </c>
      <c r="N17" s="16">
        <v>0</v>
      </c>
      <c r="O17" s="16">
        <v>0</v>
      </c>
      <c r="P17" s="16">
        <v>0</v>
      </c>
      <c r="Q17" s="16">
        <f t="shared" si="0"/>
        <v>0</v>
      </c>
      <c r="R17" s="16">
        <f t="shared" si="1"/>
        <v>17000</v>
      </c>
      <c r="S17" s="16">
        <f t="shared" si="2"/>
        <v>0</v>
      </c>
      <c r="T17" s="30">
        <f t="shared" si="3"/>
        <v>0</v>
      </c>
      <c r="U17" s="30">
        <f t="shared" si="4"/>
        <v>0</v>
      </c>
    </row>
    <row r="18" spans="1:21" s="16" customFormat="1" ht="20" customHeight="1" x14ac:dyDescent="0.35">
      <c r="A18" s="16" t="s">
        <v>54</v>
      </c>
      <c r="B18" s="28">
        <v>46057</v>
      </c>
      <c r="C18" s="16" t="s">
        <v>32</v>
      </c>
      <c r="D18" s="16" t="s">
        <v>51</v>
      </c>
      <c r="E18" s="29">
        <v>46054</v>
      </c>
      <c r="F18" s="16" t="s">
        <v>26</v>
      </c>
      <c r="G18" s="16" t="s">
        <v>27</v>
      </c>
      <c r="H18" s="16">
        <v>2000</v>
      </c>
      <c r="I18" s="16" t="s">
        <v>28</v>
      </c>
      <c r="J18" s="16" t="s">
        <v>29</v>
      </c>
      <c r="K18" s="16" t="s">
        <v>522</v>
      </c>
      <c r="L18" s="16" t="s">
        <v>30</v>
      </c>
      <c r="M18" s="16" t="s">
        <v>24</v>
      </c>
      <c r="N18" s="16">
        <v>2000</v>
      </c>
      <c r="O18" s="16">
        <v>0</v>
      </c>
      <c r="P18" s="16">
        <v>0</v>
      </c>
      <c r="Q18" s="16">
        <f t="shared" si="0"/>
        <v>0</v>
      </c>
      <c r="R18" s="16">
        <f t="shared" si="1"/>
        <v>0</v>
      </c>
      <c r="S18" s="16">
        <f t="shared" si="2"/>
        <v>0</v>
      </c>
      <c r="T18" s="30">
        <f t="shared" si="3"/>
        <v>0</v>
      </c>
      <c r="U18" s="30">
        <f t="shared" si="4"/>
        <v>0</v>
      </c>
    </row>
    <row r="19" spans="1:21" s="16" customFormat="1" ht="20" customHeight="1" x14ac:dyDescent="0.35">
      <c r="A19" s="16" t="s">
        <v>55</v>
      </c>
      <c r="B19" s="28">
        <v>46058</v>
      </c>
      <c r="C19" s="16" t="s">
        <v>36</v>
      </c>
      <c r="D19" s="16" t="s">
        <v>51</v>
      </c>
      <c r="E19" s="29">
        <v>46054</v>
      </c>
      <c r="F19" s="16" t="s">
        <v>19</v>
      </c>
      <c r="G19" s="16" t="s">
        <v>20</v>
      </c>
      <c r="H19" s="16">
        <v>0</v>
      </c>
      <c r="I19" s="16" t="s">
        <v>21</v>
      </c>
      <c r="J19" s="16" t="s">
        <v>22</v>
      </c>
      <c r="K19" s="16" t="s">
        <v>522</v>
      </c>
      <c r="L19" s="16" t="s">
        <v>56</v>
      </c>
      <c r="M19" s="16" t="s">
        <v>24</v>
      </c>
      <c r="N19" s="16">
        <v>0</v>
      </c>
      <c r="O19" s="16">
        <v>0</v>
      </c>
      <c r="P19" s="16">
        <v>0</v>
      </c>
      <c r="Q19" s="16">
        <f t="shared" si="0"/>
        <v>0</v>
      </c>
      <c r="R19" s="16">
        <f t="shared" si="1"/>
        <v>0</v>
      </c>
      <c r="S19" s="16">
        <f t="shared" si="2"/>
        <v>0</v>
      </c>
      <c r="T19" s="30">
        <f t="shared" si="3"/>
        <v>0</v>
      </c>
      <c r="U19" s="30">
        <f t="shared" si="4"/>
        <v>0</v>
      </c>
    </row>
    <row r="20" spans="1:21" s="16" customFormat="1" ht="20" customHeight="1" x14ac:dyDescent="0.35">
      <c r="A20" s="16" t="s">
        <v>57</v>
      </c>
      <c r="B20" s="28">
        <v>46059</v>
      </c>
      <c r="C20" s="16" t="s">
        <v>39</v>
      </c>
      <c r="D20" s="16" t="s">
        <v>51</v>
      </c>
      <c r="E20" s="29">
        <v>46054</v>
      </c>
      <c r="F20" s="16" t="s">
        <v>19</v>
      </c>
      <c r="G20" s="16" t="s">
        <v>20</v>
      </c>
      <c r="H20" s="16">
        <v>0</v>
      </c>
      <c r="I20" s="16" t="s">
        <v>21</v>
      </c>
      <c r="J20" s="16" t="s">
        <v>22</v>
      </c>
      <c r="K20" s="16" t="s">
        <v>522</v>
      </c>
      <c r="L20" s="16" t="s">
        <v>58</v>
      </c>
      <c r="M20" s="16" t="s">
        <v>24</v>
      </c>
      <c r="N20" s="16">
        <v>0</v>
      </c>
      <c r="O20" s="16">
        <v>0</v>
      </c>
      <c r="P20" s="16">
        <v>0</v>
      </c>
      <c r="Q20" s="16">
        <f t="shared" si="0"/>
        <v>0</v>
      </c>
      <c r="R20" s="16">
        <f t="shared" si="1"/>
        <v>0</v>
      </c>
      <c r="S20" s="16">
        <f t="shared" si="2"/>
        <v>0</v>
      </c>
      <c r="T20" s="30">
        <f t="shared" si="3"/>
        <v>0</v>
      </c>
      <c r="U20" s="30">
        <f t="shared" si="4"/>
        <v>0</v>
      </c>
    </row>
    <row r="21" spans="1:21" s="16" customFormat="1" ht="20" customHeight="1" x14ac:dyDescent="0.35">
      <c r="A21" s="16" t="s">
        <v>59</v>
      </c>
      <c r="B21" s="28">
        <v>46059</v>
      </c>
      <c r="C21" s="16" t="s">
        <v>39</v>
      </c>
      <c r="D21" s="16" t="s">
        <v>51</v>
      </c>
      <c r="E21" s="29">
        <v>46079</v>
      </c>
      <c r="F21" s="16" t="s">
        <v>82</v>
      </c>
      <c r="G21" s="16" t="s">
        <v>514</v>
      </c>
      <c r="H21" s="16">
        <v>54</v>
      </c>
      <c r="I21" s="16" t="s">
        <v>495</v>
      </c>
      <c r="J21" s="16" t="s">
        <v>85</v>
      </c>
      <c r="K21" s="16" t="s">
        <v>521</v>
      </c>
      <c r="L21" s="16" t="s">
        <v>508</v>
      </c>
      <c r="M21" s="16" t="s">
        <v>488</v>
      </c>
      <c r="N21" s="16">
        <v>0</v>
      </c>
      <c r="O21" s="16">
        <v>0</v>
      </c>
      <c r="P21" s="16">
        <v>0</v>
      </c>
      <c r="Q21" s="16">
        <f t="shared" si="0"/>
        <v>0</v>
      </c>
      <c r="R21" s="30">
        <f t="shared" si="1"/>
        <v>0</v>
      </c>
      <c r="S21" s="16">
        <f t="shared" si="2"/>
        <v>0</v>
      </c>
      <c r="T21" s="30">
        <f t="shared" si="3"/>
        <v>0</v>
      </c>
      <c r="U21" s="30">
        <f t="shared" si="4"/>
        <v>0</v>
      </c>
    </row>
    <row r="22" spans="1:21" s="16" customFormat="1" ht="20" customHeight="1" x14ac:dyDescent="0.35">
      <c r="A22" s="16" t="s">
        <v>62</v>
      </c>
      <c r="B22" s="28">
        <v>46059</v>
      </c>
      <c r="C22" s="16" t="s">
        <v>39</v>
      </c>
      <c r="D22" s="16" t="s">
        <v>51</v>
      </c>
      <c r="E22" s="29">
        <v>46079</v>
      </c>
      <c r="F22" s="16" t="s">
        <v>82</v>
      </c>
      <c r="G22" s="16" t="s">
        <v>515</v>
      </c>
      <c r="H22" s="16">
        <v>402</v>
      </c>
      <c r="I22" s="16" t="s">
        <v>495</v>
      </c>
      <c r="J22" s="16" t="s">
        <v>85</v>
      </c>
      <c r="K22" s="16" t="s">
        <v>521</v>
      </c>
      <c r="L22" s="16" t="s">
        <v>509</v>
      </c>
      <c r="M22" s="16" t="s">
        <v>488</v>
      </c>
      <c r="N22" s="16">
        <v>0</v>
      </c>
      <c r="O22" s="16">
        <v>0</v>
      </c>
      <c r="P22" s="16">
        <v>0</v>
      </c>
      <c r="Q22" s="16">
        <f t="shared" si="0"/>
        <v>0</v>
      </c>
      <c r="R22" s="30">
        <f t="shared" si="1"/>
        <v>0</v>
      </c>
      <c r="S22" s="16">
        <f t="shared" si="2"/>
        <v>0</v>
      </c>
      <c r="T22" s="30">
        <f t="shared" si="3"/>
        <v>0</v>
      </c>
      <c r="U22" s="30">
        <f t="shared" si="4"/>
        <v>0</v>
      </c>
    </row>
    <row r="23" spans="1:21" s="16" customFormat="1" ht="20" customHeight="1" x14ac:dyDescent="0.35">
      <c r="A23" s="16" t="s">
        <v>64</v>
      </c>
      <c r="B23" s="28">
        <v>46059</v>
      </c>
      <c r="C23" s="16" t="s">
        <v>39</v>
      </c>
      <c r="D23" s="16" t="s">
        <v>51</v>
      </c>
      <c r="E23" s="29">
        <v>46079</v>
      </c>
      <c r="F23" s="16" t="s">
        <v>82</v>
      </c>
      <c r="G23" s="16" t="s">
        <v>516</v>
      </c>
      <c r="H23" s="16">
        <v>840</v>
      </c>
      <c r="I23" s="16" t="s">
        <v>495</v>
      </c>
      <c r="J23" s="16" t="s">
        <v>85</v>
      </c>
      <c r="K23" s="16" t="s">
        <v>521</v>
      </c>
      <c r="L23" s="16" t="s">
        <v>510</v>
      </c>
      <c r="M23" s="16" t="s">
        <v>488</v>
      </c>
      <c r="N23" s="16">
        <v>0</v>
      </c>
      <c r="O23" s="16">
        <v>0</v>
      </c>
      <c r="P23" s="16">
        <v>0</v>
      </c>
      <c r="Q23" s="16">
        <f t="shared" si="0"/>
        <v>0</v>
      </c>
      <c r="R23" s="30">
        <f t="shared" si="1"/>
        <v>0</v>
      </c>
      <c r="S23" s="16">
        <f t="shared" si="2"/>
        <v>0</v>
      </c>
      <c r="T23" s="30">
        <f t="shared" si="3"/>
        <v>0</v>
      </c>
      <c r="U23" s="30">
        <f t="shared" si="4"/>
        <v>0</v>
      </c>
    </row>
    <row r="24" spans="1:21" s="16" customFormat="1" ht="20" customHeight="1" x14ac:dyDescent="0.35">
      <c r="A24" s="16" t="s">
        <v>70</v>
      </c>
      <c r="B24" s="28">
        <v>46061</v>
      </c>
      <c r="C24" s="16" t="s">
        <v>45</v>
      </c>
      <c r="D24" s="16" t="s">
        <v>51</v>
      </c>
      <c r="E24" s="29">
        <v>46054</v>
      </c>
      <c r="F24" s="16" t="s">
        <v>19</v>
      </c>
      <c r="G24" s="16" t="s">
        <v>60</v>
      </c>
      <c r="H24" s="16">
        <v>69</v>
      </c>
      <c r="I24" s="16" t="s">
        <v>21</v>
      </c>
      <c r="J24" s="16" t="s">
        <v>22</v>
      </c>
      <c r="K24" s="16" t="s">
        <v>521</v>
      </c>
      <c r="L24" s="16" t="s">
        <v>61</v>
      </c>
      <c r="M24" s="16" t="s">
        <v>24</v>
      </c>
      <c r="N24" s="16">
        <v>0</v>
      </c>
      <c r="O24" s="16">
        <v>0</v>
      </c>
      <c r="P24" s="16">
        <v>0</v>
      </c>
      <c r="Q24" s="16">
        <f t="shared" si="0"/>
        <v>0</v>
      </c>
      <c r="R24" s="16">
        <f t="shared" si="1"/>
        <v>55200</v>
      </c>
      <c r="S24" s="16">
        <f t="shared" si="2"/>
        <v>0</v>
      </c>
      <c r="T24" s="30">
        <f t="shared" si="3"/>
        <v>0</v>
      </c>
      <c r="U24" s="30">
        <f t="shared" si="4"/>
        <v>0</v>
      </c>
    </row>
    <row r="25" spans="1:21" s="16" customFormat="1" ht="20" customHeight="1" x14ac:dyDescent="0.35">
      <c r="A25" s="16" t="s">
        <v>72</v>
      </c>
      <c r="B25" s="28">
        <v>46061</v>
      </c>
      <c r="C25" s="16" t="s">
        <v>45</v>
      </c>
      <c r="D25" s="16" t="s">
        <v>51</v>
      </c>
      <c r="E25" s="29">
        <v>46054</v>
      </c>
      <c r="F25" s="16" t="s">
        <v>26</v>
      </c>
      <c r="G25" s="16" t="s">
        <v>27</v>
      </c>
      <c r="H25" s="16">
        <v>7000</v>
      </c>
      <c r="I25" s="16" t="s">
        <v>28</v>
      </c>
      <c r="J25" s="16" t="s">
        <v>29</v>
      </c>
      <c r="K25" s="16" t="s">
        <v>521</v>
      </c>
      <c r="L25" s="16" t="s">
        <v>63</v>
      </c>
      <c r="M25" s="16" t="s">
        <v>24</v>
      </c>
      <c r="N25" s="16">
        <v>7000</v>
      </c>
      <c r="O25" s="16">
        <v>0</v>
      </c>
      <c r="P25" s="16">
        <v>0</v>
      </c>
      <c r="Q25" s="16">
        <f t="shared" si="0"/>
        <v>0</v>
      </c>
      <c r="R25" s="16">
        <f t="shared" si="1"/>
        <v>0</v>
      </c>
      <c r="S25" s="16">
        <f t="shared" si="2"/>
        <v>0</v>
      </c>
      <c r="T25" s="30">
        <f t="shared" si="3"/>
        <v>0</v>
      </c>
      <c r="U25" s="30">
        <f t="shared" si="4"/>
        <v>0</v>
      </c>
    </row>
    <row r="26" spans="1:21" s="16" customFormat="1" ht="20" customHeight="1" x14ac:dyDescent="0.35">
      <c r="A26" s="16" t="s">
        <v>73</v>
      </c>
      <c r="B26" s="28">
        <v>46061</v>
      </c>
      <c r="C26" s="16" t="s">
        <v>45</v>
      </c>
      <c r="D26" s="16" t="s">
        <v>51</v>
      </c>
      <c r="E26" s="29">
        <v>46054</v>
      </c>
      <c r="F26" s="16" t="s">
        <v>65</v>
      </c>
      <c r="G26" s="16" t="s">
        <v>66</v>
      </c>
      <c r="H26" s="16">
        <v>5</v>
      </c>
      <c r="I26" s="16" t="s">
        <v>67</v>
      </c>
      <c r="J26" s="16" t="s">
        <v>68</v>
      </c>
      <c r="K26" s="16" t="s">
        <v>521</v>
      </c>
      <c r="L26" s="16" t="s">
        <v>69</v>
      </c>
      <c r="M26" s="16" t="s">
        <v>24</v>
      </c>
      <c r="N26" s="16">
        <v>0</v>
      </c>
      <c r="O26" s="16">
        <v>0</v>
      </c>
      <c r="P26" s="16">
        <v>0</v>
      </c>
      <c r="Q26" s="16">
        <f t="shared" si="0"/>
        <v>0</v>
      </c>
      <c r="R26" s="16">
        <f t="shared" si="1"/>
        <v>0</v>
      </c>
      <c r="S26" s="16">
        <f t="shared" si="2"/>
        <v>0</v>
      </c>
      <c r="T26" s="30">
        <f t="shared" si="3"/>
        <v>0</v>
      </c>
      <c r="U26" s="30">
        <f t="shared" si="4"/>
        <v>0</v>
      </c>
    </row>
    <row r="27" spans="1:21" s="16" customFormat="1" ht="20" customHeight="1" x14ac:dyDescent="0.35">
      <c r="A27" s="16" t="s">
        <v>74</v>
      </c>
      <c r="B27" s="28">
        <v>46062</v>
      </c>
      <c r="C27" s="16" t="s">
        <v>50</v>
      </c>
      <c r="D27" s="16" t="s">
        <v>71</v>
      </c>
      <c r="E27" s="29">
        <v>46054</v>
      </c>
      <c r="F27" s="16" t="s">
        <v>19</v>
      </c>
      <c r="G27" s="16" t="s">
        <v>60</v>
      </c>
      <c r="H27" s="16">
        <v>120</v>
      </c>
      <c r="I27" s="16" t="s">
        <v>21</v>
      </c>
      <c r="J27" s="16" t="s">
        <v>22</v>
      </c>
      <c r="K27" s="16" t="s">
        <v>521</v>
      </c>
      <c r="L27" s="16" t="s">
        <v>61</v>
      </c>
      <c r="M27" s="16" t="s">
        <v>24</v>
      </c>
      <c r="N27" s="16">
        <v>0</v>
      </c>
      <c r="O27" s="16">
        <v>0</v>
      </c>
      <c r="P27" s="16">
        <v>0</v>
      </c>
      <c r="Q27" s="16">
        <f t="shared" si="0"/>
        <v>0</v>
      </c>
      <c r="R27" s="16">
        <f t="shared" si="1"/>
        <v>96000</v>
      </c>
      <c r="S27" s="16">
        <f t="shared" si="2"/>
        <v>0</v>
      </c>
      <c r="T27" s="30">
        <f t="shared" si="3"/>
        <v>0</v>
      </c>
      <c r="U27" s="30">
        <f t="shared" si="4"/>
        <v>0</v>
      </c>
    </row>
    <row r="28" spans="1:21" s="16" customFormat="1" ht="20" customHeight="1" x14ac:dyDescent="0.35">
      <c r="A28" s="16" t="s">
        <v>75</v>
      </c>
      <c r="B28" s="28">
        <v>46062</v>
      </c>
      <c r="C28" s="16" t="s">
        <v>50</v>
      </c>
      <c r="D28" s="16" t="s">
        <v>71</v>
      </c>
      <c r="E28" s="29">
        <v>46054</v>
      </c>
      <c r="F28" s="16" t="s">
        <v>26</v>
      </c>
      <c r="G28" s="16" t="s">
        <v>27</v>
      </c>
      <c r="H28" s="16">
        <v>12000</v>
      </c>
      <c r="I28" s="16" t="s">
        <v>28</v>
      </c>
      <c r="J28" s="16" t="s">
        <v>29</v>
      </c>
      <c r="K28" s="16" t="s">
        <v>521</v>
      </c>
      <c r="L28" s="16" t="s">
        <v>63</v>
      </c>
      <c r="M28" s="16" t="s">
        <v>24</v>
      </c>
      <c r="N28" s="16">
        <v>12000</v>
      </c>
      <c r="O28" s="16">
        <v>0</v>
      </c>
      <c r="P28" s="16">
        <v>0</v>
      </c>
      <c r="Q28" s="16">
        <f t="shared" si="0"/>
        <v>0</v>
      </c>
      <c r="R28" s="16">
        <f t="shared" si="1"/>
        <v>0</v>
      </c>
      <c r="S28" s="16">
        <f t="shared" si="2"/>
        <v>0</v>
      </c>
      <c r="T28" s="30">
        <f t="shared" si="3"/>
        <v>0</v>
      </c>
      <c r="U28" s="30">
        <f t="shared" si="4"/>
        <v>0</v>
      </c>
    </row>
    <row r="29" spans="1:21" s="16" customFormat="1" ht="20" customHeight="1" x14ac:dyDescent="0.35">
      <c r="A29" s="16" t="s">
        <v>76</v>
      </c>
      <c r="B29" s="28">
        <v>46062</v>
      </c>
      <c r="C29" s="16" t="s">
        <v>50</v>
      </c>
      <c r="D29" s="16" t="s">
        <v>71</v>
      </c>
      <c r="E29" s="29">
        <v>46054</v>
      </c>
      <c r="F29" s="16" t="s">
        <v>65</v>
      </c>
      <c r="G29" s="16" t="s">
        <v>66</v>
      </c>
      <c r="H29" s="16">
        <v>12</v>
      </c>
      <c r="I29" s="16" t="s">
        <v>67</v>
      </c>
      <c r="J29" s="16" t="s">
        <v>68</v>
      </c>
      <c r="K29" s="16" t="s">
        <v>521</v>
      </c>
      <c r="L29" s="16" t="s">
        <v>69</v>
      </c>
      <c r="M29" s="16" t="s">
        <v>24</v>
      </c>
      <c r="N29" s="16">
        <v>0</v>
      </c>
      <c r="O29" s="16">
        <v>0</v>
      </c>
      <c r="P29" s="16">
        <v>0</v>
      </c>
      <c r="Q29" s="16">
        <f t="shared" si="0"/>
        <v>0</v>
      </c>
      <c r="R29" s="16">
        <f t="shared" si="1"/>
        <v>0</v>
      </c>
      <c r="S29" s="16">
        <f t="shared" si="2"/>
        <v>0</v>
      </c>
      <c r="T29" s="30">
        <f t="shared" si="3"/>
        <v>0</v>
      </c>
      <c r="U29" s="30">
        <f t="shared" si="4"/>
        <v>0</v>
      </c>
    </row>
    <row r="30" spans="1:21" s="16" customFormat="1" ht="20" customHeight="1" x14ac:dyDescent="0.35">
      <c r="A30" s="16" t="s">
        <v>77</v>
      </c>
      <c r="B30" s="28">
        <v>46063</v>
      </c>
      <c r="C30" s="16" t="s">
        <v>17</v>
      </c>
      <c r="D30" s="16" t="s">
        <v>71</v>
      </c>
      <c r="E30" s="29">
        <v>46054</v>
      </c>
      <c r="F30" s="16" t="s">
        <v>19</v>
      </c>
      <c r="G30" s="16" t="s">
        <v>60</v>
      </c>
      <c r="H30" s="16">
        <v>33</v>
      </c>
      <c r="I30" s="16" t="s">
        <v>21</v>
      </c>
      <c r="J30" s="16" t="s">
        <v>22</v>
      </c>
      <c r="K30" s="16" t="s">
        <v>521</v>
      </c>
      <c r="L30" s="16" t="s">
        <v>61</v>
      </c>
      <c r="M30" s="16" t="s">
        <v>24</v>
      </c>
      <c r="N30" s="16">
        <v>0</v>
      </c>
      <c r="O30" s="16">
        <v>0</v>
      </c>
      <c r="P30" s="16">
        <v>0</v>
      </c>
      <c r="Q30" s="16">
        <f t="shared" si="0"/>
        <v>0</v>
      </c>
      <c r="R30" s="16">
        <f t="shared" si="1"/>
        <v>26400</v>
      </c>
      <c r="S30" s="16">
        <f t="shared" si="2"/>
        <v>0</v>
      </c>
      <c r="T30" s="30">
        <f t="shared" si="3"/>
        <v>0</v>
      </c>
      <c r="U30" s="30">
        <f t="shared" si="4"/>
        <v>0</v>
      </c>
    </row>
    <row r="31" spans="1:21" s="16" customFormat="1" ht="20" customHeight="1" x14ac:dyDescent="0.35">
      <c r="A31" s="16" t="s">
        <v>78</v>
      </c>
      <c r="B31" s="28">
        <v>46063</v>
      </c>
      <c r="C31" s="16" t="s">
        <v>17</v>
      </c>
      <c r="D31" s="16" t="s">
        <v>71</v>
      </c>
      <c r="E31" s="29">
        <v>46054</v>
      </c>
      <c r="F31" s="16" t="s">
        <v>26</v>
      </c>
      <c r="G31" s="16" t="s">
        <v>27</v>
      </c>
      <c r="H31" s="16">
        <v>3500</v>
      </c>
      <c r="I31" s="16" t="s">
        <v>28</v>
      </c>
      <c r="J31" s="16" t="s">
        <v>29</v>
      </c>
      <c r="K31" s="16" t="s">
        <v>521</v>
      </c>
      <c r="L31" s="16" t="s">
        <v>63</v>
      </c>
      <c r="M31" s="16" t="s">
        <v>24</v>
      </c>
      <c r="N31" s="16">
        <v>3500</v>
      </c>
      <c r="O31" s="16">
        <v>0</v>
      </c>
      <c r="P31" s="16">
        <v>0</v>
      </c>
      <c r="Q31" s="16">
        <f t="shared" si="0"/>
        <v>0</v>
      </c>
      <c r="R31" s="16">
        <f t="shared" si="1"/>
        <v>0</v>
      </c>
      <c r="S31" s="16">
        <f t="shared" si="2"/>
        <v>0</v>
      </c>
      <c r="T31" s="30">
        <f t="shared" si="3"/>
        <v>0</v>
      </c>
      <c r="U31" s="30">
        <f t="shared" si="4"/>
        <v>0</v>
      </c>
    </row>
    <row r="32" spans="1:21" s="16" customFormat="1" ht="20" customHeight="1" x14ac:dyDescent="0.35">
      <c r="A32" s="16" t="s">
        <v>79</v>
      </c>
      <c r="B32" s="28">
        <v>46063</v>
      </c>
      <c r="C32" s="16" t="s">
        <v>17</v>
      </c>
      <c r="D32" s="16" t="s">
        <v>71</v>
      </c>
      <c r="E32" s="29">
        <v>46054</v>
      </c>
      <c r="F32" s="16" t="s">
        <v>65</v>
      </c>
      <c r="G32" s="16" t="s">
        <v>66</v>
      </c>
      <c r="H32" s="16">
        <v>8</v>
      </c>
      <c r="I32" s="16" t="s">
        <v>67</v>
      </c>
      <c r="J32" s="16" t="s">
        <v>68</v>
      </c>
      <c r="K32" s="16" t="s">
        <v>521</v>
      </c>
      <c r="L32" s="16" t="s">
        <v>69</v>
      </c>
      <c r="M32" s="16" t="s">
        <v>24</v>
      </c>
      <c r="N32" s="16">
        <v>0</v>
      </c>
      <c r="O32" s="16">
        <v>0</v>
      </c>
      <c r="P32" s="16">
        <v>0</v>
      </c>
      <c r="Q32" s="16">
        <f t="shared" si="0"/>
        <v>0</v>
      </c>
      <c r="R32" s="16">
        <f t="shared" si="1"/>
        <v>0</v>
      </c>
      <c r="S32" s="16">
        <f t="shared" si="2"/>
        <v>0</v>
      </c>
      <c r="T32" s="30">
        <f t="shared" si="3"/>
        <v>0</v>
      </c>
      <c r="U32" s="30">
        <f t="shared" si="4"/>
        <v>0</v>
      </c>
    </row>
    <row r="33" spans="1:21" s="16" customFormat="1" ht="20" customHeight="1" x14ac:dyDescent="0.35">
      <c r="A33" s="16" t="s">
        <v>80</v>
      </c>
      <c r="B33" s="28">
        <v>46064</v>
      </c>
      <c r="C33" s="16" t="s">
        <v>32</v>
      </c>
      <c r="D33" s="16" t="s">
        <v>71</v>
      </c>
      <c r="E33" s="29">
        <v>46054</v>
      </c>
      <c r="F33" s="16" t="s">
        <v>19</v>
      </c>
      <c r="G33" s="16" t="s">
        <v>60</v>
      </c>
      <c r="H33" s="16">
        <v>44</v>
      </c>
      <c r="I33" s="16" t="s">
        <v>21</v>
      </c>
      <c r="J33" s="16" t="s">
        <v>22</v>
      </c>
      <c r="K33" s="16" t="s">
        <v>521</v>
      </c>
      <c r="L33" s="16" t="s">
        <v>61</v>
      </c>
      <c r="M33" s="16" t="s">
        <v>24</v>
      </c>
      <c r="N33" s="16">
        <v>0</v>
      </c>
      <c r="O33" s="16">
        <v>0</v>
      </c>
      <c r="P33" s="16">
        <v>0</v>
      </c>
      <c r="Q33" s="16">
        <f t="shared" si="0"/>
        <v>0</v>
      </c>
      <c r="R33" s="16">
        <f t="shared" si="1"/>
        <v>35200</v>
      </c>
      <c r="S33" s="16">
        <f t="shared" si="2"/>
        <v>0</v>
      </c>
      <c r="T33" s="30">
        <f t="shared" si="3"/>
        <v>0</v>
      </c>
      <c r="U33" s="30">
        <f t="shared" si="4"/>
        <v>0</v>
      </c>
    </row>
    <row r="34" spans="1:21" s="16" customFormat="1" ht="20" customHeight="1" x14ac:dyDescent="0.35">
      <c r="A34" s="16" t="s">
        <v>81</v>
      </c>
      <c r="B34" s="28">
        <v>46064</v>
      </c>
      <c r="C34" s="16" t="s">
        <v>32</v>
      </c>
      <c r="D34" s="16" t="s">
        <v>71</v>
      </c>
      <c r="E34" s="29">
        <v>46054</v>
      </c>
      <c r="F34" s="16" t="s">
        <v>26</v>
      </c>
      <c r="G34" s="16" t="s">
        <v>27</v>
      </c>
      <c r="H34" s="16">
        <v>4500</v>
      </c>
      <c r="I34" s="16" t="s">
        <v>28</v>
      </c>
      <c r="J34" s="16" t="s">
        <v>29</v>
      </c>
      <c r="K34" s="16" t="s">
        <v>521</v>
      </c>
      <c r="L34" s="16" t="s">
        <v>63</v>
      </c>
      <c r="M34" s="16" t="s">
        <v>24</v>
      </c>
      <c r="N34" s="16">
        <v>4500</v>
      </c>
      <c r="O34" s="16">
        <v>0</v>
      </c>
      <c r="P34" s="16">
        <v>0</v>
      </c>
      <c r="Q34" s="16">
        <f t="shared" si="0"/>
        <v>0</v>
      </c>
      <c r="R34" s="16">
        <f t="shared" si="1"/>
        <v>0</v>
      </c>
      <c r="S34" s="16">
        <f t="shared" si="2"/>
        <v>0</v>
      </c>
      <c r="T34" s="30">
        <f t="shared" si="3"/>
        <v>0</v>
      </c>
      <c r="U34" s="30">
        <f t="shared" si="4"/>
        <v>0</v>
      </c>
    </row>
    <row r="35" spans="1:21" s="16" customFormat="1" ht="20" customHeight="1" x14ac:dyDescent="0.35">
      <c r="A35" s="16" t="s">
        <v>88</v>
      </c>
      <c r="B35" s="28">
        <v>46065</v>
      </c>
      <c r="C35" s="16" t="s">
        <v>36</v>
      </c>
      <c r="D35" s="16" t="s">
        <v>71</v>
      </c>
      <c r="E35" s="29">
        <v>46054</v>
      </c>
      <c r="F35" s="16" t="s">
        <v>19</v>
      </c>
      <c r="G35" s="16" t="s">
        <v>60</v>
      </c>
      <c r="H35" s="16">
        <v>53</v>
      </c>
      <c r="I35" s="16" t="s">
        <v>21</v>
      </c>
      <c r="J35" s="16" t="s">
        <v>22</v>
      </c>
      <c r="K35" s="16" t="s">
        <v>521</v>
      </c>
      <c r="L35" s="16" t="s">
        <v>61</v>
      </c>
      <c r="M35" s="16" t="s">
        <v>24</v>
      </c>
      <c r="N35" s="16">
        <v>0</v>
      </c>
      <c r="O35" s="16">
        <v>0</v>
      </c>
      <c r="P35" s="16">
        <v>0</v>
      </c>
      <c r="Q35" s="16">
        <f t="shared" si="0"/>
        <v>0</v>
      </c>
      <c r="R35" s="16">
        <f t="shared" si="1"/>
        <v>42400</v>
      </c>
      <c r="S35" s="16">
        <f t="shared" si="2"/>
        <v>0</v>
      </c>
      <c r="T35" s="30">
        <f t="shared" si="3"/>
        <v>0</v>
      </c>
      <c r="U35" s="30">
        <f t="shared" si="4"/>
        <v>0</v>
      </c>
    </row>
    <row r="36" spans="1:21" s="16" customFormat="1" ht="20" customHeight="1" x14ac:dyDescent="0.35">
      <c r="A36" s="16" t="s">
        <v>89</v>
      </c>
      <c r="B36" s="28">
        <v>46065</v>
      </c>
      <c r="C36" s="16" t="s">
        <v>36</v>
      </c>
      <c r="D36" s="16" t="s">
        <v>71</v>
      </c>
      <c r="E36" s="29">
        <v>46054</v>
      </c>
      <c r="F36" s="16" t="s">
        <v>26</v>
      </c>
      <c r="G36" s="16" t="s">
        <v>27</v>
      </c>
      <c r="H36" s="16">
        <v>5500</v>
      </c>
      <c r="I36" s="16" t="s">
        <v>28</v>
      </c>
      <c r="J36" s="16" t="s">
        <v>29</v>
      </c>
      <c r="K36" s="16" t="s">
        <v>521</v>
      </c>
      <c r="L36" s="16" t="s">
        <v>63</v>
      </c>
      <c r="M36" s="16" t="s">
        <v>24</v>
      </c>
      <c r="N36" s="16">
        <v>5500</v>
      </c>
      <c r="O36" s="16">
        <v>0</v>
      </c>
      <c r="P36" s="16">
        <v>0</v>
      </c>
      <c r="Q36" s="16">
        <f t="shared" si="0"/>
        <v>0</v>
      </c>
      <c r="R36" s="16">
        <f t="shared" si="1"/>
        <v>0</v>
      </c>
      <c r="S36" s="16">
        <f t="shared" si="2"/>
        <v>0</v>
      </c>
      <c r="T36" s="30">
        <f t="shared" si="3"/>
        <v>0</v>
      </c>
      <c r="U36" s="30">
        <f t="shared" si="4"/>
        <v>0</v>
      </c>
    </row>
    <row r="37" spans="1:21" s="16" customFormat="1" ht="20" customHeight="1" x14ac:dyDescent="0.35">
      <c r="A37" s="16" t="s">
        <v>90</v>
      </c>
      <c r="B37" s="28">
        <v>46065</v>
      </c>
      <c r="C37" s="16" t="s">
        <v>36</v>
      </c>
      <c r="D37" s="16" t="s">
        <v>71</v>
      </c>
      <c r="E37" s="29">
        <v>46054</v>
      </c>
      <c r="F37" s="16" t="s">
        <v>82</v>
      </c>
      <c r="G37" s="16" t="s">
        <v>83</v>
      </c>
      <c r="H37" s="16">
        <v>450</v>
      </c>
      <c r="I37" s="16" t="s">
        <v>84</v>
      </c>
      <c r="J37" s="16" t="s">
        <v>85</v>
      </c>
      <c r="K37" s="16" t="s">
        <v>521</v>
      </c>
      <c r="L37" s="16" t="s">
        <v>87</v>
      </c>
      <c r="M37" s="16" t="s">
        <v>24</v>
      </c>
      <c r="N37" s="16">
        <v>0</v>
      </c>
      <c r="O37" s="16">
        <v>0</v>
      </c>
      <c r="P37" s="16">
        <v>0</v>
      </c>
      <c r="Q37" s="16">
        <f t="shared" si="0"/>
        <v>0</v>
      </c>
      <c r="R37" s="16">
        <f t="shared" si="1"/>
        <v>0</v>
      </c>
      <c r="S37" s="16">
        <f t="shared" si="2"/>
        <v>0</v>
      </c>
      <c r="T37" s="30">
        <f t="shared" si="3"/>
        <v>0</v>
      </c>
      <c r="U37" s="30">
        <f t="shared" si="4"/>
        <v>0</v>
      </c>
    </row>
    <row r="38" spans="1:21" s="16" customFormat="1" ht="20" customHeight="1" x14ac:dyDescent="0.35">
      <c r="A38" s="16" t="s">
        <v>91</v>
      </c>
      <c r="B38" s="28">
        <v>46065</v>
      </c>
      <c r="C38" s="16" t="s">
        <v>36</v>
      </c>
      <c r="D38" s="16" t="s">
        <v>71</v>
      </c>
      <c r="E38" s="29">
        <v>46054</v>
      </c>
      <c r="F38" s="16" t="s">
        <v>65</v>
      </c>
      <c r="G38" s="16" t="s">
        <v>66</v>
      </c>
      <c r="H38" s="16">
        <v>11</v>
      </c>
      <c r="I38" s="16" t="s">
        <v>67</v>
      </c>
      <c r="J38" s="16" t="s">
        <v>68</v>
      </c>
      <c r="K38" s="16" t="s">
        <v>521</v>
      </c>
      <c r="L38" s="16" t="s">
        <v>69</v>
      </c>
      <c r="M38" s="16" t="s">
        <v>24</v>
      </c>
      <c r="N38" s="16">
        <v>0</v>
      </c>
      <c r="O38" s="16">
        <v>0</v>
      </c>
      <c r="P38" s="16">
        <v>0</v>
      </c>
      <c r="Q38" s="16">
        <f t="shared" si="0"/>
        <v>0</v>
      </c>
      <c r="R38" s="16">
        <f t="shared" si="1"/>
        <v>0</v>
      </c>
      <c r="S38" s="16">
        <f t="shared" si="2"/>
        <v>0</v>
      </c>
      <c r="T38" s="30">
        <f t="shared" si="3"/>
        <v>0</v>
      </c>
      <c r="U38" s="30">
        <f t="shared" si="4"/>
        <v>0</v>
      </c>
    </row>
    <row r="39" spans="1:21" s="16" customFormat="1" ht="20" customHeight="1" x14ac:dyDescent="0.35">
      <c r="A39" s="16" t="s">
        <v>93</v>
      </c>
      <c r="B39" s="28">
        <v>46066</v>
      </c>
      <c r="C39" s="16" t="s">
        <v>39</v>
      </c>
      <c r="D39" s="16" t="s">
        <v>71</v>
      </c>
      <c r="E39" s="29">
        <v>46054</v>
      </c>
      <c r="F39" s="16" t="s">
        <v>19</v>
      </c>
      <c r="G39" s="16" t="s">
        <v>60</v>
      </c>
      <c r="H39" s="16">
        <v>49</v>
      </c>
      <c r="I39" s="16" t="s">
        <v>21</v>
      </c>
      <c r="J39" s="16" t="s">
        <v>22</v>
      </c>
      <c r="K39" s="16" t="s">
        <v>521</v>
      </c>
      <c r="L39" s="16" t="s">
        <v>61</v>
      </c>
      <c r="M39" s="16" t="s">
        <v>24</v>
      </c>
      <c r="N39" s="16">
        <v>0</v>
      </c>
      <c r="O39" s="16">
        <v>0</v>
      </c>
      <c r="P39" s="16">
        <v>0</v>
      </c>
      <c r="Q39" s="16">
        <f t="shared" si="0"/>
        <v>0</v>
      </c>
      <c r="R39" s="16">
        <f t="shared" si="1"/>
        <v>39200</v>
      </c>
      <c r="S39" s="16">
        <f t="shared" si="2"/>
        <v>0</v>
      </c>
      <c r="T39" s="30">
        <f t="shared" si="3"/>
        <v>0</v>
      </c>
      <c r="U39" s="30">
        <f t="shared" si="4"/>
        <v>0</v>
      </c>
    </row>
    <row r="40" spans="1:21" s="16" customFormat="1" ht="20" customHeight="1" x14ac:dyDescent="0.35">
      <c r="A40" s="16" t="s">
        <v>95</v>
      </c>
      <c r="B40" s="28">
        <v>46066</v>
      </c>
      <c r="C40" s="16" t="s">
        <v>39</v>
      </c>
      <c r="D40" s="16" t="s">
        <v>71</v>
      </c>
      <c r="E40" s="29">
        <v>46054</v>
      </c>
      <c r="F40" s="16" t="s">
        <v>26</v>
      </c>
      <c r="G40" s="16" t="s">
        <v>27</v>
      </c>
      <c r="H40" s="16">
        <v>5000</v>
      </c>
      <c r="I40" s="16" t="s">
        <v>28</v>
      </c>
      <c r="J40" s="16" t="s">
        <v>29</v>
      </c>
      <c r="K40" s="16" t="s">
        <v>521</v>
      </c>
      <c r="L40" s="16" t="s">
        <v>63</v>
      </c>
      <c r="M40" s="16" t="s">
        <v>24</v>
      </c>
      <c r="N40" s="16">
        <v>5000</v>
      </c>
      <c r="O40" s="16">
        <v>0</v>
      </c>
      <c r="P40" s="16">
        <v>0</v>
      </c>
      <c r="Q40" s="16">
        <f t="shared" si="0"/>
        <v>0</v>
      </c>
      <c r="R40" s="16">
        <f t="shared" si="1"/>
        <v>0</v>
      </c>
      <c r="S40" s="16">
        <f t="shared" si="2"/>
        <v>0</v>
      </c>
      <c r="T40" s="30">
        <f t="shared" si="3"/>
        <v>0</v>
      </c>
      <c r="U40" s="30">
        <f t="shared" si="4"/>
        <v>0</v>
      </c>
    </row>
    <row r="41" spans="1:21" s="16" customFormat="1" ht="20" customHeight="1" x14ac:dyDescent="0.35">
      <c r="A41" s="16" t="s">
        <v>96</v>
      </c>
      <c r="B41" s="28">
        <v>46066</v>
      </c>
      <c r="C41" s="16" t="s">
        <v>39</v>
      </c>
      <c r="D41" s="16" t="s">
        <v>71</v>
      </c>
      <c r="E41" s="29">
        <v>46054</v>
      </c>
      <c r="F41" s="16" t="s">
        <v>65</v>
      </c>
      <c r="G41" s="16" t="s">
        <v>66</v>
      </c>
      <c r="H41" s="16">
        <v>0</v>
      </c>
      <c r="I41" s="16" t="s">
        <v>67</v>
      </c>
      <c r="J41" s="16" t="s">
        <v>68</v>
      </c>
      <c r="K41" s="16" t="s">
        <v>521</v>
      </c>
      <c r="L41" s="16" t="s">
        <v>92</v>
      </c>
      <c r="M41" s="16" t="s">
        <v>24</v>
      </c>
      <c r="N41" s="16">
        <v>0</v>
      </c>
      <c r="O41" s="16">
        <v>0</v>
      </c>
      <c r="P41" s="16">
        <v>0</v>
      </c>
      <c r="Q41" s="16">
        <f t="shared" si="0"/>
        <v>0</v>
      </c>
      <c r="R41" s="16">
        <f t="shared" si="1"/>
        <v>0</v>
      </c>
      <c r="S41" s="16">
        <f t="shared" si="2"/>
        <v>0</v>
      </c>
      <c r="T41" s="30">
        <f t="shared" si="3"/>
        <v>0</v>
      </c>
      <c r="U41" s="30">
        <f t="shared" si="4"/>
        <v>0</v>
      </c>
    </row>
    <row r="42" spans="1:21" s="16" customFormat="1" ht="20" customHeight="1" x14ac:dyDescent="0.35">
      <c r="A42" s="16" t="s">
        <v>101</v>
      </c>
      <c r="B42" s="28">
        <v>46067</v>
      </c>
      <c r="C42" s="16" t="s">
        <v>42</v>
      </c>
      <c r="D42" s="16" t="s">
        <v>71</v>
      </c>
      <c r="E42" s="29">
        <v>46054</v>
      </c>
      <c r="F42" s="16" t="s">
        <v>65</v>
      </c>
      <c r="G42" s="16" t="s">
        <v>66</v>
      </c>
      <c r="H42" s="16">
        <v>0</v>
      </c>
      <c r="I42" s="16" t="s">
        <v>67</v>
      </c>
      <c r="J42" s="16" t="s">
        <v>68</v>
      </c>
      <c r="K42" s="16" t="s">
        <v>521</v>
      </c>
      <c r="L42" s="16" t="s">
        <v>94</v>
      </c>
      <c r="M42" s="16" t="s">
        <v>24</v>
      </c>
      <c r="N42" s="16">
        <v>0</v>
      </c>
      <c r="O42" s="16">
        <v>0</v>
      </c>
      <c r="P42" s="16">
        <v>0</v>
      </c>
      <c r="Q42" s="16">
        <f t="shared" si="0"/>
        <v>0</v>
      </c>
      <c r="R42" s="16">
        <f t="shared" si="1"/>
        <v>0</v>
      </c>
      <c r="S42" s="16">
        <f t="shared" si="2"/>
        <v>0</v>
      </c>
      <c r="T42" s="30">
        <f t="shared" si="3"/>
        <v>0</v>
      </c>
      <c r="U42" s="30">
        <f t="shared" si="4"/>
        <v>0</v>
      </c>
    </row>
    <row r="43" spans="1:21" s="16" customFormat="1" ht="20" customHeight="1" x14ac:dyDescent="0.35">
      <c r="A43" s="16" t="s">
        <v>104</v>
      </c>
      <c r="B43" s="28">
        <v>46068</v>
      </c>
      <c r="C43" s="16" t="s">
        <v>45</v>
      </c>
      <c r="D43" s="16" t="s">
        <v>71</v>
      </c>
      <c r="E43" s="29">
        <v>46054</v>
      </c>
      <c r="F43" s="16" t="s">
        <v>65</v>
      </c>
      <c r="G43" s="16" t="s">
        <v>66</v>
      </c>
      <c r="H43" s="16">
        <v>1</v>
      </c>
      <c r="I43" s="16" t="s">
        <v>67</v>
      </c>
      <c r="J43" s="16" t="s">
        <v>68</v>
      </c>
      <c r="K43" s="16" t="s">
        <v>521</v>
      </c>
      <c r="L43" s="16" t="s">
        <v>69</v>
      </c>
      <c r="M43" s="16" t="s">
        <v>24</v>
      </c>
      <c r="N43" s="16">
        <v>0</v>
      </c>
      <c r="O43" s="16">
        <v>0</v>
      </c>
      <c r="P43" s="16">
        <v>0</v>
      </c>
      <c r="Q43" s="16">
        <f t="shared" si="0"/>
        <v>0</v>
      </c>
      <c r="R43" s="16">
        <f t="shared" si="1"/>
        <v>0</v>
      </c>
      <c r="S43" s="16">
        <f t="shared" si="2"/>
        <v>0</v>
      </c>
      <c r="T43" s="30">
        <f t="shared" si="3"/>
        <v>0</v>
      </c>
      <c r="U43" s="30">
        <f t="shared" si="4"/>
        <v>0</v>
      </c>
    </row>
    <row r="44" spans="1:21" s="16" customFormat="1" ht="20" customHeight="1" x14ac:dyDescent="0.35">
      <c r="A44" s="16" t="s">
        <v>107</v>
      </c>
      <c r="B44" s="28">
        <v>46069</v>
      </c>
      <c r="C44" s="16" t="s">
        <v>50</v>
      </c>
      <c r="D44" s="16" t="s">
        <v>97</v>
      </c>
      <c r="E44" s="29">
        <v>46054</v>
      </c>
      <c r="F44" s="16" t="s">
        <v>65</v>
      </c>
      <c r="G44" s="16" t="s">
        <v>98</v>
      </c>
      <c r="H44" s="16">
        <v>40</v>
      </c>
      <c r="I44" s="16" t="s">
        <v>21</v>
      </c>
      <c r="J44" s="16" t="s">
        <v>99</v>
      </c>
      <c r="K44" s="16" t="s">
        <v>521</v>
      </c>
      <c r="L44" s="16" t="s">
        <v>100</v>
      </c>
      <c r="M44" s="16" t="s">
        <v>24</v>
      </c>
      <c r="N44" s="16">
        <v>0</v>
      </c>
      <c r="O44" s="16">
        <v>0</v>
      </c>
      <c r="P44" s="16">
        <v>0</v>
      </c>
      <c r="Q44" s="16">
        <f t="shared" si="0"/>
        <v>0</v>
      </c>
      <c r="R44" s="16">
        <f t="shared" si="1"/>
        <v>0</v>
      </c>
      <c r="S44" s="16">
        <f t="shared" si="2"/>
        <v>20000</v>
      </c>
      <c r="T44" s="30">
        <f t="shared" si="3"/>
        <v>0</v>
      </c>
      <c r="U44" s="30">
        <f t="shared" si="4"/>
        <v>0</v>
      </c>
    </row>
    <row r="45" spans="1:21" s="16" customFormat="1" ht="20" customHeight="1" x14ac:dyDescent="0.35">
      <c r="A45" s="16" t="s">
        <v>109</v>
      </c>
      <c r="B45" s="28">
        <v>46069</v>
      </c>
      <c r="C45" s="16" t="s">
        <v>50</v>
      </c>
      <c r="D45" s="16" t="s">
        <v>97</v>
      </c>
      <c r="E45" s="29">
        <v>46054</v>
      </c>
      <c r="F45" s="16" t="s">
        <v>65</v>
      </c>
      <c r="G45" s="16" t="s">
        <v>102</v>
      </c>
      <c r="H45" s="16">
        <v>18</v>
      </c>
      <c r="I45" s="16" t="s">
        <v>84</v>
      </c>
      <c r="J45" s="16" t="s">
        <v>99</v>
      </c>
      <c r="K45" s="16" t="s">
        <v>521</v>
      </c>
      <c r="L45" s="16" t="s">
        <v>103</v>
      </c>
      <c r="M45" s="16" t="s">
        <v>24</v>
      </c>
      <c r="N45" s="16">
        <v>0</v>
      </c>
      <c r="O45" s="16">
        <v>0</v>
      </c>
      <c r="P45" s="16">
        <v>0</v>
      </c>
      <c r="Q45" s="16">
        <f t="shared" si="0"/>
        <v>0</v>
      </c>
      <c r="R45" s="16">
        <f t="shared" si="1"/>
        <v>0</v>
      </c>
      <c r="S45" s="16">
        <f t="shared" si="2"/>
        <v>0</v>
      </c>
      <c r="T45" s="30">
        <f t="shared" si="3"/>
        <v>0</v>
      </c>
      <c r="U45" s="30">
        <f t="shared" si="4"/>
        <v>0</v>
      </c>
    </row>
    <row r="46" spans="1:21" s="16" customFormat="1" ht="20" customHeight="1" x14ac:dyDescent="0.35">
      <c r="A46" s="16" t="s">
        <v>111</v>
      </c>
      <c r="B46" s="28">
        <v>46069</v>
      </c>
      <c r="C46" s="16" t="s">
        <v>50</v>
      </c>
      <c r="D46" s="16" t="s">
        <v>97</v>
      </c>
      <c r="E46" s="29">
        <v>46054</v>
      </c>
      <c r="F46" s="16" t="s">
        <v>65</v>
      </c>
      <c r="G46" s="16" t="s">
        <v>105</v>
      </c>
      <c r="H46" s="16">
        <v>9</v>
      </c>
      <c r="I46" s="16" t="s">
        <v>106</v>
      </c>
      <c r="J46" s="16" t="s">
        <v>99</v>
      </c>
      <c r="K46" s="16" t="s">
        <v>521</v>
      </c>
      <c r="L46" s="16" t="s">
        <v>103</v>
      </c>
      <c r="M46" s="16" t="s">
        <v>24</v>
      </c>
      <c r="N46" s="16">
        <v>0</v>
      </c>
      <c r="O46" s="16">
        <v>0</v>
      </c>
      <c r="P46" s="16">
        <v>0</v>
      </c>
      <c r="Q46" s="16">
        <f t="shared" si="0"/>
        <v>0</v>
      </c>
      <c r="R46" s="16">
        <f t="shared" si="1"/>
        <v>0</v>
      </c>
      <c r="S46" s="16">
        <f t="shared" si="2"/>
        <v>0</v>
      </c>
      <c r="T46" s="30">
        <f t="shared" si="3"/>
        <v>0</v>
      </c>
      <c r="U46" s="30">
        <f t="shared" si="4"/>
        <v>9000</v>
      </c>
    </row>
    <row r="47" spans="1:21" s="16" customFormat="1" ht="20" customHeight="1" x14ac:dyDescent="0.35">
      <c r="A47" s="16" t="s">
        <v>117</v>
      </c>
      <c r="B47" s="28">
        <v>46069</v>
      </c>
      <c r="C47" s="16" t="s">
        <v>50</v>
      </c>
      <c r="D47" s="16" t="s">
        <v>97</v>
      </c>
      <c r="E47" s="29">
        <v>46054</v>
      </c>
      <c r="F47" s="16" t="s">
        <v>65</v>
      </c>
      <c r="G47" s="16" t="s">
        <v>66</v>
      </c>
      <c r="H47" s="16">
        <v>3.6</v>
      </c>
      <c r="I47" s="16" t="s">
        <v>67</v>
      </c>
      <c r="J47" s="16" t="s">
        <v>68</v>
      </c>
      <c r="K47" s="16" t="s">
        <v>521</v>
      </c>
      <c r="L47" s="16" t="s">
        <v>108</v>
      </c>
      <c r="M47" s="16" t="s">
        <v>24</v>
      </c>
      <c r="N47" s="16">
        <v>0</v>
      </c>
      <c r="O47" s="16">
        <v>0</v>
      </c>
      <c r="P47" s="16">
        <v>0</v>
      </c>
      <c r="Q47" s="16">
        <f t="shared" si="0"/>
        <v>0</v>
      </c>
      <c r="R47" s="16">
        <f t="shared" si="1"/>
        <v>0</v>
      </c>
      <c r="S47" s="16">
        <f t="shared" si="2"/>
        <v>0</v>
      </c>
      <c r="T47" s="30">
        <f t="shared" si="3"/>
        <v>0</v>
      </c>
      <c r="U47" s="30">
        <f t="shared" si="4"/>
        <v>0</v>
      </c>
    </row>
    <row r="48" spans="1:21" s="16" customFormat="1" ht="20" customHeight="1" x14ac:dyDescent="0.35">
      <c r="A48" s="16" t="s">
        <v>120</v>
      </c>
      <c r="B48" s="28">
        <v>46069</v>
      </c>
      <c r="C48" s="16" t="s">
        <v>50</v>
      </c>
      <c r="D48" s="16" t="s">
        <v>97</v>
      </c>
      <c r="E48" s="29">
        <v>46054</v>
      </c>
      <c r="F48" s="16" t="s">
        <v>26</v>
      </c>
      <c r="G48" s="16" t="s">
        <v>27</v>
      </c>
      <c r="H48" s="16">
        <v>16000</v>
      </c>
      <c r="I48" s="16" t="s">
        <v>28</v>
      </c>
      <c r="J48" s="16" t="s">
        <v>29</v>
      </c>
      <c r="K48" s="16" t="s">
        <v>521</v>
      </c>
      <c r="L48" s="16" t="s">
        <v>110</v>
      </c>
      <c r="M48" s="16" t="s">
        <v>24</v>
      </c>
      <c r="N48" s="16">
        <v>16000</v>
      </c>
      <c r="O48" s="16">
        <v>0</v>
      </c>
      <c r="P48" s="16">
        <v>0</v>
      </c>
      <c r="Q48" s="16">
        <f t="shared" si="0"/>
        <v>0</v>
      </c>
      <c r="R48" s="16">
        <f t="shared" si="1"/>
        <v>0</v>
      </c>
      <c r="S48" s="16">
        <f t="shared" si="2"/>
        <v>0</v>
      </c>
      <c r="T48" s="30">
        <f t="shared" si="3"/>
        <v>0</v>
      </c>
      <c r="U48" s="30">
        <f t="shared" si="4"/>
        <v>0</v>
      </c>
    </row>
    <row r="49" spans="1:21" s="16" customFormat="1" ht="20" customHeight="1" x14ac:dyDescent="0.35">
      <c r="A49" s="16" t="s">
        <v>121</v>
      </c>
      <c r="B49" s="28">
        <v>46069</v>
      </c>
      <c r="C49" s="16" t="s">
        <v>50</v>
      </c>
      <c r="D49" s="16" t="s">
        <v>97</v>
      </c>
      <c r="E49" s="29">
        <v>46054</v>
      </c>
      <c r="F49" s="16" t="s">
        <v>112</v>
      </c>
      <c r="G49" s="16" t="s">
        <v>113</v>
      </c>
      <c r="H49" s="16">
        <v>6</v>
      </c>
      <c r="I49" s="16" t="s">
        <v>114</v>
      </c>
      <c r="J49" s="16" t="s">
        <v>115</v>
      </c>
      <c r="K49" s="16" t="s">
        <v>521</v>
      </c>
      <c r="L49" s="16" t="s">
        <v>116</v>
      </c>
      <c r="M49" s="16" t="s">
        <v>24</v>
      </c>
      <c r="N49" s="16">
        <v>0</v>
      </c>
      <c r="O49" s="16">
        <v>6</v>
      </c>
      <c r="P49" s="16">
        <v>0</v>
      </c>
      <c r="Q49" s="16">
        <f t="shared" si="0"/>
        <v>0</v>
      </c>
      <c r="R49" s="16">
        <f t="shared" si="1"/>
        <v>0</v>
      </c>
      <c r="S49" s="16">
        <f t="shared" si="2"/>
        <v>0</v>
      </c>
      <c r="T49" s="30">
        <f t="shared" si="3"/>
        <v>0</v>
      </c>
      <c r="U49" s="30">
        <f t="shared" si="4"/>
        <v>0</v>
      </c>
    </row>
    <row r="50" spans="1:21" s="16" customFormat="1" ht="20" customHeight="1" x14ac:dyDescent="0.35">
      <c r="A50" s="16" t="s">
        <v>122</v>
      </c>
      <c r="B50" s="28">
        <v>46069</v>
      </c>
      <c r="C50" s="16" t="s">
        <v>50</v>
      </c>
      <c r="D50" s="16" t="s">
        <v>97</v>
      </c>
      <c r="E50" s="29">
        <v>46054</v>
      </c>
      <c r="F50" s="16" t="s">
        <v>112</v>
      </c>
      <c r="G50" s="16" t="s">
        <v>118</v>
      </c>
      <c r="H50" s="16">
        <v>4</v>
      </c>
      <c r="I50" s="16" t="s">
        <v>114</v>
      </c>
      <c r="J50" s="16" t="s">
        <v>115</v>
      </c>
      <c r="K50" s="16" t="s">
        <v>521</v>
      </c>
      <c r="L50" s="16" t="s">
        <v>119</v>
      </c>
      <c r="M50" s="16" t="s">
        <v>24</v>
      </c>
      <c r="N50" s="16">
        <v>0</v>
      </c>
      <c r="O50" s="16">
        <v>0</v>
      </c>
      <c r="P50" s="16">
        <v>4</v>
      </c>
      <c r="Q50" s="16">
        <f t="shared" si="0"/>
        <v>0</v>
      </c>
      <c r="R50" s="16">
        <f t="shared" si="1"/>
        <v>0</v>
      </c>
      <c r="S50" s="16">
        <f t="shared" si="2"/>
        <v>0</v>
      </c>
      <c r="T50" s="30">
        <f t="shared" si="3"/>
        <v>0</v>
      </c>
      <c r="U50" s="30">
        <f t="shared" si="4"/>
        <v>0</v>
      </c>
    </row>
    <row r="51" spans="1:21" s="16" customFormat="1" ht="20" customHeight="1" x14ac:dyDescent="0.35">
      <c r="A51" s="16" t="s">
        <v>123</v>
      </c>
      <c r="B51" s="28">
        <v>46070</v>
      </c>
      <c r="C51" s="16" t="s">
        <v>17</v>
      </c>
      <c r="D51" s="16" t="s">
        <v>97</v>
      </c>
      <c r="E51" s="29">
        <v>46054</v>
      </c>
      <c r="F51" s="16" t="s">
        <v>65</v>
      </c>
      <c r="G51" s="16" t="s">
        <v>98</v>
      </c>
      <c r="H51" s="16">
        <v>84</v>
      </c>
      <c r="I51" s="16" t="s">
        <v>21</v>
      </c>
      <c r="J51" s="16" t="s">
        <v>99</v>
      </c>
      <c r="K51" s="16" t="s">
        <v>521</v>
      </c>
      <c r="L51" s="16" t="s">
        <v>100</v>
      </c>
      <c r="M51" s="16" t="s">
        <v>24</v>
      </c>
      <c r="N51" s="16">
        <v>0</v>
      </c>
      <c r="O51" s="16">
        <v>0</v>
      </c>
      <c r="P51" s="16">
        <v>0</v>
      </c>
      <c r="Q51" s="16">
        <f t="shared" si="0"/>
        <v>0</v>
      </c>
      <c r="R51" s="16">
        <f t="shared" si="1"/>
        <v>0</v>
      </c>
      <c r="S51" s="16">
        <f t="shared" si="2"/>
        <v>42000</v>
      </c>
      <c r="T51" s="30">
        <f t="shared" si="3"/>
        <v>0</v>
      </c>
      <c r="U51" s="30">
        <f t="shared" si="4"/>
        <v>0</v>
      </c>
    </row>
    <row r="52" spans="1:21" s="16" customFormat="1" ht="20" customHeight="1" x14ac:dyDescent="0.35">
      <c r="A52" s="16" t="s">
        <v>124</v>
      </c>
      <c r="B52" s="28">
        <v>46070</v>
      </c>
      <c r="C52" s="16" t="s">
        <v>17</v>
      </c>
      <c r="D52" s="16" t="s">
        <v>97</v>
      </c>
      <c r="E52" s="29">
        <v>46054</v>
      </c>
      <c r="F52" s="16" t="s">
        <v>65</v>
      </c>
      <c r="G52" s="16" t="s">
        <v>102</v>
      </c>
      <c r="H52" s="16">
        <v>22</v>
      </c>
      <c r="I52" s="16" t="s">
        <v>84</v>
      </c>
      <c r="J52" s="16" t="s">
        <v>99</v>
      </c>
      <c r="K52" s="16" t="s">
        <v>521</v>
      </c>
      <c r="L52" s="16" t="s">
        <v>103</v>
      </c>
      <c r="M52" s="16" t="s">
        <v>24</v>
      </c>
      <c r="N52" s="16">
        <v>0</v>
      </c>
      <c r="O52" s="16">
        <v>0</v>
      </c>
      <c r="P52" s="16">
        <v>0</v>
      </c>
      <c r="Q52" s="16">
        <f t="shared" si="0"/>
        <v>0</v>
      </c>
      <c r="R52" s="16">
        <f t="shared" si="1"/>
        <v>0</v>
      </c>
      <c r="S52" s="16">
        <f t="shared" si="2"/>
        <v>0</v>
      </c>
      <c r="T52" s="30">
        <f t="shared" si="3"/>
        <v>0</v>
      </c>
      <c r="U52" s="30">
        <f t="shared" si="4"/>
        <v>0</v>
      </c>
    </row>
    <row r="53" spans="1:21" s="16" customFormat="1" ht="20" customHeight="1" x14ac:dyDescent="0.35">
      <c r="A53" s="16" t="s">
        <v>126</v>
      </c>
      <c r="B53" s="28">
        <v>46070</v>
      </c>
      <c r="C53" s="16" t="s">
        <v>17</v>
      </c>
      <c r="D53" s="16" t="s">
        <v>97</v>
      </c>
      <c r="E53" s="29">
        <v>46054</v>
      </c>
      <c r="F53" s="16" t="s">
        <v>65</v>
      </c>
      <c r="G53" s="16" t="s">
        <v>105</v>
      </c>
      <c r="H53" s="16">
        <v>15</v>
      </c>
      <c r="I53" s="16" t="s">
        <v>106</v>
      </c>
      <c r="J53" s="16" t="s">
        <v>99</v>
      </c>
      <c r="K53" s="16" t="s">
        <v>521</v>
      </c>
      <c r="L53" s="16" t="s">
        <v>103</v>
      </c>
      <c r="M53" s="16" t="s">
        <v>24</v>
      </c>
      <c r="N53" s="16">
        <v>0</v>
      </c>
      <c r="O53" s="16">
        <v>0</v>
      </c>
      <c r="P53" s="16">
        <v>0</v>
      </c>
      <c r="Q53" s="16">
        <f t="shared" si="0"/>
        <v>0</v>
      </c>
      <c r="R53" s="16">
        <f t="shared" si="1"/>
        <v>0</v>
      </c>
      <c r="S53" s="16">
        <f t="shared" si="2"/>
        <v>0</v>
      </c>
      <c r="T53" s="30">
        <f t="shared" si="3"/>
        <v>0</v>
      </c>
      <c r="U53" s="30">
        <f t="shared" si="4"/>
        <v>15000</v>
      </c>
    </row>
    <row r="54" spans="1:21" s="16" customFormat="1" ht="20" customHeight="1" x14ac:dyDescent="0.35">
      <c r="A54" s="16" t="s">
        <v>128</v>
      </c>
      <c r="B54" s="28">
        <v>46070</v>
      </c>
      <c r="C54" s="16" t="s">
        <v>17</v>
      </c>
      <c r="D54" s="16" t="s">
        <v>97</v>
      </c>
      <c r="E54" s="29">
        <v>46054</v>
      </c>
      <c r="F54" s="16" t="s">
        <v>65</v>
      </c>
      <c r="G54" s="16" t="s">
        <v>66</v>
      </c>
      <c r="H54" s="16">
        <v>7.5</v>
      </c>
      <c r="I54" s="16" t="s">
        <v>67</v>
      </c>
      <c r="J54" s="16" t="s">
        <v>68</v>
      </c>
      <c r="K54" s="16" t="s">
        <v>521</v>
      </c>
      <c r="L54" s="16" t="s">
        <v>108</v>
      </c>
      <c r="M54" s="16" t="s">
        <v>24</v>
      </c>
      <c r="N54" s="16">
        <v>0</v>
      </c>
      <c r="O54" s="16">
        <v>0</v>
      </c>
      <c r="P54" s="16">
        <v>0</v>
      </c>
      <c r="Q54" s="16">
        <f t="shared" si="0"/>
        <v>0</v>
      </c>
      <c r="R54" s="16">
        <f t="shared" si="1"/>
        <v>0</v>
      </c>
      <c r="S54" s="16">
        <f t="shared" si="2"/>
        <v>0</v>
      </c>
      <c r="T54" s="30">
        <f t="shared" si="3"/>
        <v>0</v>
      </c>
      <c r="U54" s="30">
        <f t="shared" si="4"/>
        <v>0</v>
      </c>
    </row>
    <row r="55" spans="1:21" s="16" customFormat="1" ht="20" customHeight="1" x14ac:dyDescent="0.35">
      <c r="A55" s="16" t="s">
        <v>129</v>
      </c>
      <c r="B55" s="28">
        <v>46070</v>
      </c>
      <c r="C55" s="16" t="s">
        <v>17</v>
      </c>
      <c r="D55" s="16" t="s">
        <v>97</v>
      </c>
      <c r="E55" s="29">
        <v>46054</v>
      </c>
      <c r="F55" s="16" t="s">
        <v>65</v>
      </c>
      <c r="G55" s="16" t="s">
        <v>66</v>
      </c>
      <c r="H55" s="16">
        <v>11.9</v>
      </c>
      <c r="I55" s="16" t="s">
        <v>67</v>
      </c>
      <c r="J55" s="16" t="s">
        <v>68</v>
      </c>
      <c r="K55" s="16" t="s">
        <v>521</v>
      </c>
      <c r="L55" s="16" t="s">
        <v>125</v>
      </c>
      <c r="M55" s="16" t="s">
        <v>24</v>
      </c>
      <c r="N55" s="16">
        <v>0</v>
      </c>
      <c r="O55" s="16">
        <v>0</v>
      </c>
      <c r="P55" s="16">
        <v>0</v>
      </c>
      <c r="Q55" s="16">
        <f t="shared" si="0"/>
        <v>0</v>
      </c>
      <c r="R55" s="16">
        <f t="shared" si="1"/>
        <v>0</v>
      </c>
      <c r="S55" s="16">
        <f t="shared" si="2"/>
        <v>0</v>
      </c>
      <c r="T55" s="30">
        <f t="shared" si="3"/>
        <v>0</v>
      </c>
      <c r="U55" s="30">
        <f t="shared" si="4"/>
        <v>0</v>
      </c>
    </row>
    <row r="56" spans="1:21" s="16" customFormat="1" ht="20" customHeight="1" x14ac:dyDescent="0.35">
      <c r="A56" s="16" t="s">
        <v>130</v>
      </c>
      <c r="B56" s="28">
        <v>46070</v>
      </c>
      <c r="C56" s="16" t="s">
        <v>17</v>
      </c>
      <c r="D56" s="16" t="s">
        <v>97</v>
      </c>
      <c r="E56" s="29">
        <v>46054</v>
      </c>
      <c r="F56" s="16" t="s">
        <v>26</v>
      </c>
      <c r="G56" s="16" t="s">
        <v>27</v>
      </c>
      <c r="H56" s="16">
        <v>18000</v>
      </c>
      <c r="I56" s="16" t="s">
        <v>28</v>
      </c>
      <c r="J56" s="16" t="s">
        <v>29</v>
      </c>
      <c r="K56" s="16" t="s">
        <v>521</v>
      </c>
      <c r="L56" s="16" t="s">
        <v>127</v>
      </c>
      <c r="M56" s="16" t="s">
        <v>24</v>
      </c>
      <c r="N56" s="16">
        <v>18000</v>
      </c>
      <c r="O56" s="16">
        <v>0</v>
      </c>
      <c r="P56" s="16">
        <v>0</v>
      </c>
      <c r="Q56" s="16">
        <f t="shared" si="0"/>
        <v>0</v>
      </c>
      <c r="R56" s="16">
        <f t="shared" si="1"/>
        <v>0</v>
      </c>
      <c r="S56" s="16">
        <f t="shared" si="2"/>
        <v>0</v>
      </c>
      <c r="T56" s="30">
        <f t="shared" si="3"/>
        <v>0</v>
      </c>
      <c r="U56" s="30">
        <f t="shared" si="4"/>
        <v>0</v>
      </c>
    </row>
    <row r="57" spans="1:21" s="16" customFormat="1" ht="20" customHeight="1" x14ac:dyDescent="0.35">
      <c r="A57" s="16" t="s">
        <v>131</v>
      </c>
      <c r="B57" s="28">
        <v>46070</v>
      </c>
      <c r="C57" s="16" t="s">
        <v>17</v>
      </c>
      <c r="D57" s="16" t="s">
        <v>97</v>
      </c>
      <c r="E57" s="29">
        <v>46054</v>
      </c>
      <c r="F57" s="16" t="s">
        <v>112</v>
      </c>
      <c r="G57" s="16" t="s">
        <v>113</v>
      </c>
      <c r="H57" s="16">
        <v>7</v>
      </c>
      <c r="I57" s="16" t="s">
        <v>114</v>
      </c>
      <c r="J57" s="16" t="s">
        <v>115</v>
      </c>
      <c r="K57" s="16" t="s">
        <v>521</v>
      </c>
      <c r="L57" s="16" t="s">
        <v>116</v>
      </c>
      <c r="M57" s="16" t="s">
        <v>24</v>
      </c>
      <c r="N57" s="16">
        <v>0</v>
      </c>
      <c r="O57" s="16">
        <v>7</v>
      </c>
      <c r="P57" s="16">
        <v>0</v>
      </c>
      <c r="Q57" s="16">
        <f t="shared" si="0"/>
        <v>0</v>
      </c>
      <c r="R57" s="16">
        <f t="shared" si="1"/>
        <v>0</v>
      </c>
      <c r="S57" s="16">
        <f t="shared" si="2"/>
        <v>0</v>
      </c>
      <c r="T57" s="30">
        <f t="shared" si="3"/>
        <v>0</v>
      </c>
      <c r="U57" s="30">
        <f t="shared" si="4"/>
        <v>0</v>
      </c>
    </row>
    <row r="58" spans="1:21" s="16" customFormat="1" ht="20" customHeight="1" x14ac:dyDescent="0.35">
      <c r="A58" s="16" t="s">
        <v>132</v>
      </c>
      <c r="B58" s="28">
        <v>46070</v>
      </c>
      <c r="C58" s="16" t="s">
        <v>17</v>
      </c>
      <c r="D58" s="16" t="s">
        <v>97</v>
      </c>
      <c r="E58" s="29">
        <v>46054</v>
      </c>
      <c r="F58" s="16" t="s">
        <v>112</v>
      </c>
      <c r="G58" s="16" t="s">
        <v>118</v>
      </c>
      <c r="H58" s="16">
        <v>5</v>
      </c>
      <c r="I58" s="16" t="s">
        <v>114</v>
      </c>
      <c r="J58" s="16" t="s">
        <v>115</v>
      </c>
      <c r="K58" s="16" t="s">
        <v>521</v>
      </c>
      <c r="L58" s="16" t="s">
        <v>119</v>
      </c>
      <c r="M58" s="16" t="s">
        <v>24</v>
      </c>
      <c r="N58" s="16">
        <v>0</v>
      </c>
      <c r="O58" s="16">
        <v>0</v>
      </c>
      <c r="P58" s="16">
        <v>5</v>
      </c>
      <c r="Q58" s="16">
        <f t="shared" si="0"/>
        <v>0</v>
      </c>
      <c r="R58" s="16">
        <f t="shared" si="1"/>
        <v>0</v>
      </c>
      <c r="S58" s="16">
        <f t="shared" si="2"/>
        <v>0</v>
      </c>
      <c r="T58" s="30">
        <f t="shared" si="3"/>
        <v>0</v>
      </c>
      <c r="U58" s="30">
        <f t="shared" si="4"/>
        <v>0</v>
      </c>
    </row>
    <row r="59" spans="1:21" s="16" customFormat="1" ht="20" customHeight="1" x14ac:dyDescent="0.35">
      <c r="A59" s="16" t="s">
        <v>133</v>
      </c>
      <c r="B59" s="28">
        <v>46071</v>
      </c>
      <c r="C59" s="16" t="s">
        <v>32</v>
      </c>
      <c r="D59" s="16" t="s">
        <v>97</v>
      </c>
      <c r="E59" s="29">
        <v>46054</v>
      </c>
      <c r="F59" s="16" t="s">
        <v>65</v>
      </c>
      <c r="G59" s="16" t="s">
        <v>98</v>
      </c>
      <c r="H59" s="16">
        <v>100</v>
      </c>
      <c r="I59" s="16" t="s">
        <v>21</v>
      </c>
      <c r="J59" s="16" t="s">
        <v>99</v>
      </c>
      <c r="K59" s="16" t="s">
        <v>521</v>
      </c>
      <c r="L59" s="16" t="s">
        <v>100</v>
      </c>
      <c r="M59" s="16" t="s">
        <v>24</v>
      </c>
      <c r="N59" s="16">
        <v>0</v>
      </c>
      <c r="O59" s="16">
        <v>0</v>
      </c>
      <c r="P59" s="16">
        <v>0</v>
      </c>
      <c r="Q59" s="16">
        <f t="shared" si="0"/>
        <v>0</v>
      </c>
      <c r="R59" s="16">
        <f t="shared" si="1"/>
        <v>0</v>
      </c>
      <c r="S59" s="16">
        <f t="shared" si="2"/>
        <v>50000</v>
      </c>
      <c r="T59" s="30">
        <f t="shared" si="3"/>
        <v>0</v>
      </c>
      <c r="U59" s="30">
        <f t="shared" si="4"/>
        <v>0</v>
      </c>
    </row>
    <row r="60" spans="1:21" s="16" customFormat="1" ht="20" customHeight="1" x14ac:dyDescent="0.35">
      <c r="A60" s="16" t="s">
        <v>134</v>
      </c>
      <c r="B60" s="28">
        <v>46071</v>
      </c>
      <c r="C60" s="16" t="s">
        <v>32</v>
      </c>
      <c r="D60" s="16" t="s">
        <v>97</v>
      </c>
      <c r="E60" s="29">
        <v>46054</v>
      </c>
      <c r="F60" s="16" t="s">
        <v>65</v>
      </c>
      <c r="G60" s="16" t="s">
        <v>102</v>
      </c>
      <c r="H60" s="16">
        <v>27</v>
      </c>
      <c r="I60" s="16" t="s">
        <v>84</v>
      </c>
      <c r="J60" s="16" t="s">
        <v>99</v>
      </c>
      <c r="K60" s="16" t="s">
        <v>521</v>
      </c>
      <c r="L60" s="16" t="s">
        <v>103</v>
      </c>
      <c r="M60" s="16" t="s">
        <v>24</v>
      </c>
      <c r="N60" s="16">
        <v>0</v>
      </c>
      <c r="O60" s="16">
        <v>0</v>
      </c>
      <c r="P60" s="16">
        <v>0</v>
      </c>
      <c r="Q60" s="16">
        <f t="shared" si="0"/>
        <v>0</v>
      </c>
      <c r="R60" s="16">
        <f t="shared" si="1"/>
        <v>0</v>
      </c>
      <c r="S60" s="16">
        <f t="shared" si="2"/>
        <v>0</v>
      </c>
      <c r="T60" s="30">
        <f t="shared" si="3"/>
        <v>0</v>
      </c>
      <c r="U60" s="30">
        <f t="shared" si="4"/>
        <v>0</v>
      </c>
    </row>
    <row r="61" spans="1:21" s="16" customFormat="1" ht="20" customHeight="1" x14ac:dyDescent="0.35">
      <c r="A61" s="16" t="s">
        <v>135</v>
      </c>
      <c r="B61" s="28">
        <v>46071</v>
      </c>
      <c r="C61" s="16" t="s">
        <v>32</v>
      </c>
      <c r="D61" s="16" t="s">
        <v>97</v>
      </c>
      <c r="E61" s="29">
        <v>46054</v>
      </c>
      <c r="F61" s="16" t="s">
        <v>65</v>
      </c>
      <c r="G61" s="16" t="s">
        <v>105</v>
      </c>
      <c r="H61" s="16">
        <v>15</v>
      </c>
      <c r="I61" s="16" t="s">
        <v>106</v>
      </c>
      <c r="J61" s="16" t="s">
        <v>99</v>
      </c>
      <c r="K61" s="16" t="s">
        <v>521</v>
      </c>
      <c r="L61" s="16" t="s">
        <v>103</v>
      </c>
      <c r="M61" s="16" t="s">
        <v>24</v>
      </c>
      <c r="N61" s="16">
        <v>0</v>
      </c>
      <c r="O61" s="16">
        <v>0</v>
      </c>
      <c r="P61" s="16">
        <v>0</v>
      </c>
      <c r="Q61" s="16">
        <f t="shared" si="0"/>
        <v>0</v>
      </c>
      <c r="R61" s="16">
        <f t="shared" si="1"/>
        <v>0</v>
      </c>
      <c r="S61" s="16">
        <f t="shared" si="2"/>
        <v>0</v>
      </c>
      <c r="T61" s="30">
        <f t="shared" si="3"/>
        <v>0</v>
      </c>
      <c r="U61" s="30">
        <f t="shared" si="4"/>
        <v>15000</v>
      </c>
    </row>
    <row r="62" spans="1:21" s="16" customFormat="1" ht="20" customHeight="1" x14ac:dyDescent="0.35">
      <c r="A62" s="16" t="s">
        <v>136</v>
      </c>
      <c r="B62" s="28">
        <v>46071</v>
      </c>
      <c r="C62" s="16" t="s">
        <v>32</v>
      </c>
      <c r="D62" s="16" t="s">
        <v>97</v>
      </c>
      <c r="E62" s="29">
        <v>46054</v>
      </c>
      <c r="F62" s="16" t="s">
        <v>65</v>
      </c>
      <c r="G62" s="16" t="s">
        <v>66</v>
      </c>
      <c r="H62" s="16">
        <v>9</v>
      </c>
      <c r="I62" s="16" t="s">
        <v>67</v>
      </c>
      <c r="J62" s="16" t="s">
        <v>68</v>
      </c>
      <c r="K62" s="16" t="s">
        <v>521</v>
      </c>
      <c r="L62" s="16" t="s">
        <v>108</v>
      </c>
      <c r="M62" s="16" t="s">
        <v>24</v>
      </c>
      <c r="N62" s="16">
        <v>0</v>
      </c>
      <c r="O62" s="16">
        <v>0</v>
      </c>
      <c r="P62" s="16">
        <v>0</v>
      </c>
      <c r="Q62" s="16">
        <f t="shared" si="0"/>
        <v>0</v>
      </c>
      <c r="R62" s="16">
        <f t="shared" si="1"/>
        <v>0</v>
      </c>
      <c r="S62" s="16">
        <f t="shared" si="2"/>
        <v>0</v>
      </c>
      <c r="T62" s="30">
        <f t="shared" si="3"/>
        <v>0</v>
      </c>
      <c r="U62" s="30">
        <f t="shared" si="4"/>
        <v>0</v>
      </c>
    </row>
    <row r="63" spans="1:21" s="16" customFormat="1" ht="20" customHeight="1" x14ac:dyDescent="0.35">
      <c r="A63" s="16" t="s">
        <v>137</v>
      </c>
      <c r="B63" s="28">
        <v>46071</v>
      </c>
      <c r="C63" s="16" t="s">
        <v>32</v>
      </c>
      <c r="D63" s="16" t="s">
        <v>97</v>
      </c>
      <c r="E63" s="29">
        <v>46054</v>
      </c>
      <c r="F63" s="16" t="s">
        <v>26</v>
      </c>
      <c r="G63" s="16" t="s">
        <v>27</v>
      </c>
      <c r="H63" s="16">
        <v>20000</v>
      </c>
      <c r="I63" s="16" t="s">
        <v>28</v>
      </c>
      <c r="J63" s="16" t="s">
        <v>29</v>
      </c>
      <c r="K63" s="16" t="s">
        <v>521</v>
      </c>
      <c r="L63" s="16" t="s">
        <v>127</v>
      </c>
      <c r="M63" s="16" t="s">
        <v>24</v>
      </c>
      <c r="N63" s="16">
        <v>20000</v>
      </c>
      <c r="O63" s="16">
        <v>0</v>
      </c>
      <c r="P63" s="16">
        <v>0</v>
      </c>
      <c r="Q63" s="16">
        <f t="shared" si="0"/>
        <v>0</v>
      </c>
      <c r="R63" s="16">
        <f t="shared" si="1"/>
        <v>0</v>
      </c>
      <c r="S63" s="16">
        <f t="shared" si="2"/>
        <v>0</v>
      </c>
      <c r="T63" s="30">
        <f t="shared" si="3"/>
        <v>0</v>
      </c>
      <c r="U63" s="30">
        <f t="shared" si="4"/>
        <v>0</v>
      </c>
    </row>
    <row r="64" spans="1:21" s="16" customFormat="1" ht="20" customHeight="1" x14ac:dyDescent="0.35">
      <c r="A64" s="16" t="s">
        <v>138</v>
      </c>
      <c r="B64" s="28">
        <v>46071</v>
      </c>
      <c r="C64" s="16" t="s">
        <v>32</v>
      </c>
      <c r="D64" s="16" t="s">
        <v>97</v>
      </c>
      <c r="E64" s="29">
        <v>46054</v>
      </c>
      <c r="F64" s="16" t="s">
        <v>112</v>
      </c>
      <c r="G64" s="16" t="s">
        <v>113</v>
      </c>
      <c r="H64" s="16">
        <v>7</v>
      </c>
      <c r="I64" s="16" t="s">
        <v>114</v>
      </c>
      <c r="J64" s="16" t="s">
        <v>115</v>
      </c>
      <c r="K64" s="16" t="s">
        <v>521</v>
      </c>
      <c r="L64" s="16" t="s">
        <v>116</v>
      </c>
      <c r="M64" s="16" t="s">
        <v>24</v>
      </c>
      <c r="N64" s="16">
        <v>0</v>
      </c>
      <c r="O64" s="16">
        <v>7</v>
      </c>
      <c r="P64" s="16">
        <v>0</v>
      </c>
      <c r="Q64" s="16">
        <f t="shared" si="0"/>
        <v>0</v>
      </c>
      <c r="R64" s="16">
        <f t="shared" si="1"/>
        <v>0</v>
      </c>
      <c r="S64" s="16">
        <f t="shared" si="2"/>
        <v>0</v>
      </c>
      <c r="T64" s="30">
        <f t="shared" si="3"/>
        <v>0</v>
      </c>
      <c r="U64" s="30">
        <f t="shared" si="4"/>
        <v>0</v>
      </c>
    </row>
    <row r="65" spans="1:21" s="16" customFormat="1" ht="20" customHeight="1" x14ac:dyDescent="0.35">
      <c r="A65" s="16" t="s">
        <v>140</v>
      </c>
      <c r="B65" s="28">
        <v>46071</v>
      </c>
      <c r="C65" s="16" t="s">
        <v>32</v>
      </c>
      <c r="D65" s="16" t="s">
        <v>97</v>
      </c>
      <c r="E65" s="29">
        <v>46054</v>
      </c>
      <c r="F65" s="16" t="s">
        <v>112</v>
      </c>
      <c r="G65" s="16" t="s">
        <v>118</v>
      </c>
      <c r="H65" s="16">
        <v>5</v>
      </c>
      <c r="I65" s="16" t="s">
        <v>114</v>
      </c>
      <c r="J65" s="16" t="s">
        <v>115</v>
      </c>
      <c r="K65" s="16" t="s">
        <v>521</v>
      </c>
      <c r="L65" s="16" t="s">
        <v>119</v>
      </c>
      <c r="M65" s="16" t="s">
        <v>24</v>
      </c>
      <c r="N65" s="16">
        <v>0</v>
      </c>
      <c r="O65" s="16">
        <v>0</v>
      </c>
      <c r="P65" s="16">
        <v>5</v>
      </c>
      <c r="Q65" s="16">
        <f t="shared" si="0"/>
        <v>0</v>
      </c>
      <c r="R65" s="16">
        <f t="shared" si="1"/>
        <v>0</v>
      </c>
      <c r="S65" s="16">
        <f t="shared" si="2"/>
        <v>0</v>
      </c>
      <c r="T65" s="30">
        <f t="shared" si="3"/>
        <v>0</v>
      </c>
      <c r="U65" s="30">
        <f t="shared" si="4"/>
        <v>0</v>
      </c>
    </row>
    <row r="66" spans="1:21" s="16" customFormat="1" ht="20" customHeight="1" x14ac:dyDescent="0.35">
      <c r="A66" s="16" t="s">
        <v>142</v>
      </c>
      <c r="B66" s="28">
        <v>46072</v>
      </c>
      <c r="C66" s="16" t="s">
        <v>36</v>
      </c>
      <c r="D66" s="16" t="s">
        <v>97</v>
      </c>
      <c r="E66" s="29">
        <v>46054</v>
      </c>
      <c r="F66" s="16" t="s">
        <v>65</v>
      </c>
      <c r="G66" s="16" t="s">
        <v>98</v>
      </c>
      <c r="H66" s="16">
        <v>60</v>
      </c>
      <c r="I66" s="16" t="s">
        <v>21</v>
      </c>
      <c r="J66" s="16" t="s">
        <v>99</v>
      </c>
      <c r="K66" s="16" t="s">
        <v>521</v>
      </c>
      <c r="L66" s="16" t="s">
        <v>100</v>
      </c>
      <c r="M66" s="16" t="s">
        <v>24</v>
      </c>
      <c r="N66" s="16">
        <v>0</v>
      </c>
      <c r="O66" s="16">
        <v>0</v>
      </c>
      <c r="P66" s="16">
        <v>0</v>
      </c>
      <c r="Q66" s="16">
        <f t="shared" ref="Q66:Q129" si="5">IF(AND(OR(F66="Work",F66="Adjustment"),OR(ISNUMBER(SEARCH("Excavation",G66)),G66="Excavation Repair")),IF(K66="Chairman Street",800,IF(K66="INEC Street",1000,0)),0)</f>
        <v>0</v>
      </c>
      <c r="R66" s="16">
        <f t="shared" ref="R66:R129" si="6">IF(AND(OR(F66="Work", F66="Adjustment"), OR(ISNUMBER(SEARCH("Excavation", G66)), G66="Excavation Repair")), H66 * IF(K66="Site A", 800, IF(K66="Site B", 1000, 0)), 0)</f>
        <v>0</v>
      </c>
      <c r="S66" s="16">
        <f t="shared" ref="S66:S129" si="7">IF(G66="Base Casting",H66*500,0)</f>
        <v>30000</v>
      </c>
      <c r="T66" s="30">
        <f t="shared" ref="T66:T129" si="8">IF(G66="Wall Casting",H66*1000,0)</f>
        <v>0</v>
      </c>
      <c r="U66" s="30">
        <f t="shared" ref="U66:U129" si="9">IF(G66="Water Supply",H66*1000,0)</f>
        <v>0</v>
      </c>
    </row>
    <row r="67" spans="1:21" s="16" customFormat="1" ht="20" customHeight="1" x14ac:dyDescent="0.35">
      <c r="A67" s="16" t="s">
        <v>143</v>
      </c>
      <c r="B67" s="28">
        <v>46072</v>
      </c>
      <c r="C67" s="16" t="s">
        <v>36</v>
      </c>
      <c r="D67" s="16" t="s">
        <v>97</v>
      </c>
      <c r="E67" s="29">
        <v>46054</v>
      </c>
      <c r="F67" s="16" t="s">
        <v>65</v>
      </c>
      <c r="G67" s="16" t="s">
        <v>139</v>
      </c>
      <c r="H67" s="16">
        <v>7</v>
      </c>
      <c r="I67" s="16" t="s">
        <v>21</v>
      </c>
      <c r="J67" s="16" t="s">
        <v>99</v>
      </c>
      <c r="K67" s="16" t="s">
        <v>521</v>
      </c>
      <c r="L67" s="16" t="s">
        <v>160</v>
      </c>
      <c r="M67" s="16" t="s">
        <v>24</v>
      </c>
      <c r="N67" s="16">
        <v>0</v>
      </c>
      <c r="O67" s="16">
        <v>0</v>
      </c>
      <c r="P67" s="16">
        <v>0</v>
      </c>
      <c r="Q67" s="16">
        <f t="shared" si="5"/>
        <v>0</v>
      </c>
      <c r="R67" s="16">
        <f t="shared" si="6"/>
        <v>0</v>
      </c>
      <c r="S67" s="16">
        <f t="shared" si="7"/>
        <v>0</v>
      </c>
      <c r="T67" s="30">
        <f t="shared" si="8"/>
        <v>7000</v>
      </c>
      <c r="U67" s="30">
        <f t="shared" si="9"/>
        <v>0</v>
      </c>
    </row>
    <row r="68" spans="1:21" s="16" customFormat="1" ht="20" customHeight="1" x14ac:dyDescent="0.35">
      <c r="A68" s="16" t="s">
        <v>145</v>
      </c>
      <c r="B68" s="28">
        <v>46072</v>
      </c>
      <c r="C68" s="16" t="s">
        <v>36</v>
      </c>
      <c r="D68" s="16" t="s">
        <v>97</v>
      </c>
      <c r="E68" s="29">
        <v>46054</v>
      </c>
      <c r="F68" s="16" t="s">
        <v>65</v>
      </c>
      <c r="G68" s="16" t="s">
        <v>102</v>
      </c>
      <c r="H68" s="16">
        <v>22</v>
      </c>
      <c r="I68" s="16" t="s">
        <v>84</v>
      </c>
      <c r="J68" s="16" t="s">
        <v>99</v>
      </c>
      <c r="K68" s="16" t="s">
        <v>521</v>
      </c>
      <c r="L68" s="16" t="s">
        <v>141</v>
      </c>
      <c r="M68" s="16" t="s">
        <v>24</v>
      </c>
      <c r="N68" s="16">
        <v>0</v>
      </c>
      <c r="O68" s="16">
        <v>0</v>
      </c>
      <c r="P68" s="16">
        <v>0</v>
      </c>
      <c r="Q68" s="16">
        <f t="shared" si="5"/>
        <v>0</v>
      </c>
      <c r="R68" s="16">
        <f t="shared" si="6"/>
        <v>0</v>
      </c>
      <c r="S68" s="16">
        <f t="shared" si="7"/>
        <v>0</v>
      </c>
      <c r="T68" s="30">
        <f t="shared" si="8"/>
        <v>0</v>
      </c>
      <c r="U68" s="30">
        <f t="shared" si="9"/>
        <v>0</v>
      </c>
    </row>
    <row r="69" spans="1:21" s="16" customFormat="1" ht="20" customHeight="1" x14ac:dyDescent="0.35">
      <c r="A69" s="16" t="s">
        <v>147</v>
      </c>
      <c r="B69" s="28">
        <v>46072</v>
      </c>
      <c r="C69" s="16" t="s">
        <v>36</v>
      </c>
      <c r="D69" s="16" t="s">
        <v>97</v>
      </c>
      <c r="E69" s="29">
        <v>46054</v>
      </c>
      <c r="F69" s="16" t="s">
        <v>65</v>
      </c>
      <c r="G69" s="16" t="s">
        <v>105</v>
      </c>
      <c r="H69" s="16">
        <v>10</v>
      </c>
      <c r="I69" s="16" t="s">
        <v>106</v>
      </c>
      <c r="J69" s="16" t="s">
        <v>99</v>
      </c>
      <c r="K69" s="16" t="s">
        <v>521</v>
      </c>
      <c r="L69" s="16" t="s">
        <v>141</v>
      </c>
      <c r="M69" s="16" t="s">
        <v>24</v>
      </c>
      <c r="N69" s="16">
        <v>0</v>
      </c>
      <c r="O69" s="16">
        <v>0</v>
      </c>
      <c r="P69" s="16">
        <v>0</v>
      </c>
      <c r="Q69" s="16">
        <f t="shared" si="5"/>
        <v>0</v>
      </c>
      <c r="R69" s="16">
        <f t="shared" si="6"/>
        <v>0</v>
      </c>
      <c r="S69" s="16">
        <f t="shared" si="7"/>
        <v>0</v>
      </c>
      <c r="T69" s="30">
        <f t="shared" si="8"/>
        <v>0</v>
      </c>
      <c r="U69" s="30">
        <f t="shared" si="9"/>
        <v>10000</v>
      </c>
    </row>
    <row r="70" spans="1:21" s="16" customFormat="1" ht="20" customHeight="1" x14ac:dyDescent="0.35">
      <c r="A70" s="16" t="s">
        <v>148</v>
      </c>
      <c r="B70" s="28">
        <v>46072</v>
      </c>
      <c r="C70" s="16" t="s">
        <v>36</v>
      </c>
      <c r="D70" s="16" t="s">
        <v>97</v>
      </c>
      <c r="E70" s="29">
        <v>46054</v>
      </c>
      <c r="F70" s="16" t="s">
        <v>65</v>
      </c>
      <c r="G70" s="16" t="s">
        <v>66</v>
      </c>
      <c r="H70" s="16">
        <v>6</v>
      </c>
      <c r="I70" s="16" t="s">
        <v>67</v>
      </c>
      <c r="J70" s="16" t="s">
        <v>68</v>
      </c>
      <c r="K70" s="16" t="s">
        <v>521</v>
      </c>
      <c r="L70" s="16" t="s">
        <v>144</v>
      </c>
      <c r="M70" s="16" t="s">
        <v>24</v>
      </c>
      <c r="N70" s="16">
        <v>0</v>
      </c>
      <c r="O70" s="16">
        <v>0</v>
      </c>
      <c r="P70" s="16">
        <v>0</v>
      </c>
      <c r="Q70" s="16">
        <f t="shared" si="5"/>
        <v>0</v>
      </c>
      <c r="R70" s="16">
        <f t="shared" si="6"/>
        <v>0</v>
      </c>
      <c r="S70" s="16">
        <f t="shared" si="7"/>
        <v>0</v>
      </c>
      <c r="T70" s="30">
        <f t="shared" si="8"/>
        <v>0</v>
      </c>
      <c r="U70" s="30">
        <f t="shared" si="9"/>
        <v>0</v>
      </c>
    </row>
    <row r="71" spans="1:21" s="16" customFormat="1" ht="20" customHeight="1" x14ac:dyDescent="0.35">
      <c r="A71" s="16" t="s">
        <v>149</v>
      </c>
      <c r="B71" s="28">
        <v>46072</v>
      </c>
      <c r="C71" s="16" t="s">
        <v>36</v>
      </c>
      <c r="D71" s="16" t="s">
        <v>97</v>
      </c>
      <c r="E71" s="29">
        <v>46054</v>
      </c>
      <c r="F71" s="16" t="s">
        <v>26</v>
      </c>
      <c r="G71" s="16" t="s">
        <v>27</v>
      </c>
      <c r="H71" s="16">
        <v>18000</v>
      </c>
      <c r="I71" s="16" t="s">
        <v>28</v>
      </c>
      <c r="J71" s="16" t="s">
        <v>29</v>
      </c>
      <c r="K71" s="16" t="s">
        <v>521</v>
      </c>
      <c r="L71" s="16" t="s">
        <v>146</v>
      </c>
      <c r="M71" s="16" t="s">
        <v>24</v>
      </c>
      <c r="N71" s="16">
        <v>18000</v>
      </c>
      <c r="O71" s="16">
        <v>0</v>
      </c>
      <c r="P71" s="16">
        <v>0</v>
      </c>
      <c r="Q71" s="16">
        <f t="shared" si="5"/>
        <v>0</v>
      </c>
      <c r="R71" s="16">
        <f t="shared" si="6"/>
        <v>0</v>
      </c>
      <c r="S71" s="16">
        <f t="shared" si="7"/>
        <v>0</v>
      </c>
      <c r="T71" s="30">
        <f t="shared" si="8"/>
        <v>0</v>
      </c>
      <c r="U71" s="30">
        <f t="shared" si="9"/>
        <v>0</v>
      </c>
    </row>
    <row r="72" spans="1:21" s="16" customFormat="1" ht="20" customHeight="1" x14ac:dyDescent="0.35">
      <c r="A72" s="16" t="s">
        <v>150</v>
      </c>
      <c r="B72" s="28">
        <v>46072</v>
      </c>
      <c r="C72" s="16" t="s">
        <v>36</v>
      </c>
      <c r="D72" s="16" t="s">
        <v>97</v>
      </c>
      <c r="E72" s="29">
        <v>46054</v>
      </c>
      <c r="F72" s="16" t="s">
        <v>112</v>
      </c>
      <c r="G72" s="16" t="s">
        <v>113</v>
      </c>
      <c r="H72" s="16">
        <v>6</v>
      </c>
      <c r="I72" s="16" t="s">
        <v>114</v>
      </c>
      <c r="J72" s="16" t="s">
        <v>115</v>
      </c>
      <c r="K72" s="16" t="s">
        <v>521</v>
      </c>
      <c r="L72" s="16" t="s">
        <v>116</v>
      </c>
      <c r="M72" s="16" t="s">
        <v>24</v>
      </c>
      <c r="N72" s="16">
        <v>0</v>
      </c>
      <c r="O72" s="16">
        <v>6</v>
      </c>
      <c r="P72" s="16">
        <v>0</v>
      </c>
      <c r="Q72" s="16">
        <f t="shared" si="5"/>
        <v>0</v>
      </c>
      <c r="R72" s="16">
        <f t="shared" si="6"/>
        <v>0</v>
      </c>
      <c r="S72" s="16">
        <f t="shared" si="7"/>
        <v>0</v>
      </c>
      <c r="T72" s="30">
        <f t="shared" si="8"/>
        <v>0</v>
      </c>
      <c r="U72" s="30">
        <f t="shared" si="9"/>
        <v>0</v>
      </c>
    </row>
    <row r="73" spans="1:21" s="16" customFormat="1" ht="20" customHeight="1" x14ac:dyDescent="0.35">
      <c r="A73" s="16" t="s">
        <v>151</v>
      </c>
      <c r="B73" s="28">
        <v>46072</v>
      </c>
      <c r="C73" s="16" t="s">
        <v>36</v>
      </c>
      <c r="D73" s="16" t="s">
        <v>97</v>
      </c>
      <c r="E73" s="29">
        <v>46054</v>
      </c>
      <c r="F73" s="16" t="s">
        <v>112</v>
      </c>
      <c r="G73" s="16" t="s">
        <v>118</v>
      </c>
      <c r="H73" s="16">
        <v>4</v>
      </c>
      <c r="I73" s="16" t="s">
        <v>114</v>
      </c>
      <c r="J73" s="16" t="s">
        <v>115</v>
      </c>
      <c r="K73" s="16" t="s">
        <v>521</v>
      </c>
      <c r="L73" s="16" t="s">
        <v>119</v>
      </c>
      <c r="M73" s="16" t="s">
        <v>24</v>
      </c>
      <c r="N73" s="16">
        <v>0</v>
      </c>
      <c r="O73" s="16">
        <v>0</v>
      </c>
      <c r="P73" s="16">
        <v>4</v>
      </c>
      <c r="Q73" s="16">
        <f t="shared" si="5"/>
        <v>0</v>
      </c>
      <c r="R73" s="16">
        <f t="shared" si="6"/>
        <v>0</v>
      </c>
      <c r="S73" s="16">
        <f t="shared" si="7"/>
        <v>0</v>
      </c>
      <c r="T73" s="30">
        <f t="shared" si="8"/>
        <v>0</v>
      </c>
      <c r="U73" s="30">
        <f t="shared" si="9"/>
        <v>0</v>
      </c>
    </row>
    <row r="74" spans="1:21" s="16" customFormat="1" ht="20" customHeight="1" x14ac:dyDescent="0.35">
      <c r="A74" s="16" t="s">
        <v>152</v>
      </c>
      <c r="B74" s="28">
        <v>46073</v>
      </c>
      <c r="C74" s="16" t="s">
        <v>39</v>
      </c>
      <c r="D74" s="16" t="s">
        <v>97</v>
      </c>
      <c r="E74" s="29">
        <v>46054</v>
      </c>
      <c r="F74" s="16" t="s">
        <v>65</v>
      </c>
      <c r="G74" s="16" t="s">
        <v>98</v>
      </c>
      <c r="H74" s="16">
        <v>70</v>
      </c>
      <c r="I74" s="16" t="s">
        <v>21</v>
      </c>
      <c r="J74" s="16" t="s">
        <v>99</v>
      </c>
      <c r="K74" s="16" t="s">
        <v>521</v>
      </c>
      <c r="L74" s="16" t="s">
        <v>100</v>
      </c>
      <c r="M74" s="16" t="s">
        <v>24</v>
      </c>
      <c r="N74" s="16">
        <v>0</v>
      </c>
      <c r="O74" s="16">
        <v>0</v>
      </c>
      <c r="P74" s="16">
        <v>0</v>
      </c>
      <c r="Q74" s="16">
        <f t="shared" si="5"/>
        <v>0</v>
      </c>
      <c r="R74" s="16">
        <f t="shared" si="6"/>
        <v>0</v>
      </c>
      <c r="S74" s="16">
        <f t="shared" si="7"/>
        <v>35000</v>
      </c>
      <c r="T74" s="30">
        <f t="shared" si="8"/>
        <v>0</v>
      </c>
      <c r="U74" s="30">
        <f t="shared" si="9"/>
        <v>0</v>
      </c>
    </row>
    <row r="75" spans="1:21" s="16" customFormat="1" ht="20" customHeight="1" x14ac:dyDescent="0.35">
      <c r="A75" s="16" t="s">
        <v>156</v>
      </c>
      <c r="B75" s="28">
        <v>46073</v>
      </c>
      <c r="C75" s="16" t="s">
        <v>39</v>
      </c>
      <c r="D75" s="16" t="s">
        <v>97</v>
      </c>
      <c r="E75" s="29">
        <v>46054</v>
      </c>
      <c r="F75" s="16" t="s">
        <v>65</v>
      </c>
      <c r="G75" s="16" t="s">
        <v>102</v>
      </c>
      <c r="H75" s="16">
        <v>18</v>
      </c>
      <c r="I75" s="16" t="s">
        <v>84</v>
      </c>
      <c r="J75" s="16" t="s">
        <v>99</v>
      </c>
      <c r="K75" s="16" t="s">
        <v>521</v>
      </c>
      <c r="L75" s="16" t="s">
        <v>103</v>
      </c>
      <c r="M75" s="16" t="s">
        <v>24</v>
      </c>
      <c r="N75" s="16">
        <v>0</v>
      </c>
      <c r="O75" s="16">
        <v>0</v>
      </c>
      <c r="P75" s="16">
        <v>0</v>
      </c>
      <c r="Q75" s="16">
        <f t="shared" si="5"/>
        <v>0</v>
      </c>
      <c r="R75" s="16">
        <f t="shared" si="6"/>
        <v>0</v>
      </c>
      <c r="S75" s="16">
        <f t="shared" si="7"/>
        <v>0</v>
      </c>
      <c r="T75" s="30">
        <f t="shared" si="8"/>
        <v>0</v>
      </c>
      <c r="U75" s="30">
        <f t="shared" si="9"/>
        <v>0</v>
      </c>
    </row>
    <row r="76" spans="1:21" s="16" customFormat="1" ht="20" customHeight="1" x14ac:dyDescent="0.35">
      <c r="A76" s="16" t="s">
        <v>157</v>
      </c>
      <c r="B76" s="28">
        <v>46073</v>
      </c>
      <c r="C76" s="16" t="s">
        <v>39</v>
      </c>
      <c r="D76" s="16" t="s">
        <v>97</v>
      </c>
      <c r="E76" s="29">
        <v>46054</v>
      </c>
      <c r="F76" s="16" t="s">
        <v>65</v>
      </c>
      <c r="G76" s="16" t="s">
        <v>105</v>
      </c>
      <c r="H76" s="16">
        <v>10</v>
      </c>
      <c r="I76" s="16" t="s">
        <v>106</v>
      </c>
      <c r="J76" s="16" t="s">
        <v>99</v>
      </c>
      <c r="K76" s="16" t="s">
        <v>521</v>
      </c>
      <c r="L76" s="16" t="s">
        <v>103</v>
      </c>
      <c r="M76" s="16" t="s">
        <v>24</v>
      </c>
      <c r="N76" s="16">
        <v>0</v>
      </c>
      <c r="O76" s="16">
        <v>0</v>
      </c>
      <c r="P76" s="16">
        <v>0</v>
      </c>
      <c r="Q76" s="16">
        <f t="shared" si="5"/>
        <v>0</v>
      </c>
      <c r="R76" s="16">
        <f t="shared" si="6"/>
        <v>0</v>
      </c>
      <c r="S76" s="16">
        <f t="shared" si="7"/>
        <v>0</v>
      </c>
      <c r="T76" s="30">
        <f t="shared" si="8"/>
        <v>0</v>
      </c>
      <c r="U76" s="30">
        <f t="shared" si="9"/>
        <v>10000</v>
      </c>
    </row>
    <row r="77" spans="1:21" s="16" customFormat="1" ht="20" customHeight="1" x14ac:dyDescent="0.35">
      <c r="A77" s="16" t="s">
        <v>158</v>
      </c>
      <c r="B77" s="28">
        <v>46073</v>
      </c>
      <c r="C77" s="16" t="s">
        <v>39</v>
      </c>
      <c r="D77" s="16" t="s">
        <v>97</v>
      </c>
      <c r="E77" s="29">
        <v>46054</v>
      </c>
      <c r="F77" s="16" t="s">
        <v>65</v>
      </c>
      <c r="G77" s="16" t="s">
        <v>153</v>
      </c>
      <c r="H77" s="16">
        <v>1</v>
      </c>
      <c r="I77" s="16" t="s">
        <v>154</v>
      </c>
      <c r="J77" s="16" t="s">
        <v>99</v>
      </c>
      <c r="K77" s="16" t="s">
        <v>521</v>
      </c>
      <c r="L77" s="16" t="s">
        <v>155</v>
      </c>
      <c r="M77" s="16" t="s">
        <v>24</v>
      </c>
      <c r="N77" s="16">
        <v>0</v>
      </c>
      <c r="O77" s="16">
        <v>0</v>
      </c>
      <c r="P77" s="16">
        <v>0</v>
      </c>
      <c r="Q77" s="16">
        <f t="shared" si="5"/>
        <v>0</v>
      </c>
      <c r="R77" s="16">
        <f t="shared" si="6"/>
        <v>0</v>
      </c>
      <c r="S77" s="16">
        <f t="shared" si="7"/>
        <v>0</v>
      </c>
      <c r="T77" s="30">
        <f t="shared" si="8"/>
        <v>0</v>
      </c>
      <c r="U77" s="30">
        <f t="shared" si="9"/>
        <v>0</v>
      </c>
    </row>
    <row r="78" spans="1:21" s="16" customFormat="1" ht="20" customHeight="1" x14ac:dyDescent="0.35">
      <c r="A78" s="16" t="s">
        <v>159</v>
      </c>
      <c r="B78" s="28">
        <v>46073</v>
      </c>
      <c r="C78" s="16" t="s">
        <v>39</v>
      </c>
      <c r="D78" s="16" t="s">
        <v>97</v>
      </c>
      <c r="E78" s="29">
        <v>46054</v>
      </c>
      <c r="F78" s="16" t="s">
        <v>26</v>
      </c>
      <c r="G78" s="16" t="s">
        <v>27</v>
      </c>
      <c r="H78" s="16">
        <v>15000</v>
      </c>
      <c r="I78" s="16" t="s">
        <v>28</v>
      </c>
      <c r="J78" s="16" t="s">
        <v>29</v>
      </c>
      <c r="K78" s="16" t="s">
        <v>521</v>
      </c>
      <c r="L78" s="16" t="s">
        <v>127</v>
      </c>
      <c r="M78" s="16" t="s">
        <v>24</v>
      </c>
      <c r="N78" s="16">
        <v>15000</v>
      </c>
      <c r="O78" s="16">
        <v>0</v>
      </c>
      <c r="P78" s="16">
        <v>0</v>
      </c>
      <c r="Q78" s="16">
        <f t="shared" si="5"/>
        <v>0</v>
      </c>
      <c r="R78" s="16">
        <f t="shared" si="6"/>
        <v>0</v>
      </c>
      <c r="S78" s="16">
        <f t="shared" si="7"/>
        <v>0</v>
      </c>
      <c r="T78" s="30">
        <f t="shared" si="8"/>
        <v>0</v>
      </c>
      <c r="U78" s="30">
        <f t="shared" si="9"/>
        <v>0</v>
      </c>
    </row>
    <row r="79" spans="1:21" s="16" customFormat="1" ht="20" customHeight="1" x14ac:dyDescent="0.35">
      <c r="A79" s="16" t="s">
        <v>161</v>
      </c>
      <c r="B79" s="28">
        <v>46073</v>
      </c>
      <c r="C79" s="16" t="s">
        <v>39</v>
      </c>
      <c r="D79" s="16" t="s">
        <v>97</v>
      </c>
      <c r="E79" s="29">
        <v>46054</v>
      </c>
      <c r="F79" s="16" t="s">
        <v>112</v>
      </c>
      <c r="G79" s="16" t="s">
        <v>113</v>
      </c>
      <c r="H79" s="16">
        <v>7</v>
      </c>
      <c r="I79" s="16" t="s">
        <v>114</v>
      </c>
      <c r="J79" s="16" t="s">
        <v>115</v>
      </c>
      <c r="K79" s="16" t="s">
        <v>521</v>
      </c>
      <c r="L79" s="16" t="s">
        <v>116</v>
      </c>
      <c r="M79" s="16" t="s">
        <v>24</v>
      </c>
      <c r="N79" s="16">
        <v>0</v>
      </c>
      <c r="O79" s="16">
        <v>7</v>
      </c>
      <c r="P79" s="16">
        <v>0</v>
      </c>
      <c r="Q79" s="16">
        <f t="shared" si="5"/>
        <v>0</v>
      </c>
      <c r="R79" s="16">
        <f t="shared" si="6"/>
        <v>0</v>
      </c>
      <c r="S79" s="16">
        <f t="shared" si="7"/>
        <v>0</v>
      </c>
      <c r="T79" s="30">
        <f t="shared" si="8"/>
        <v>0</v>
      </c>
      <c r="U79" s="30">
        <f t="shared" si="9"/>
        <v>0</v>
      </c>
    </row>
    <row r="80" spans="1:21" s="16" customFormat="1" ht="20" customHeight="1" x14ac:dyDescent="0.35">
      <c r="A80" s="16" t="s">
        <v>162</v>
      </c>
      <c r="B80" s="28">
        <v>46073</v>
      </c>
      <c r="C80" s="16" t="s">
        <v>39</v>
      </c>
      <c r="D80" s="16" t="s">
        <v>97</v>
      </c>
      <c r="E80" s="29">
        <v>46054</v>
      </c>
      <c r="F80" s="16" t="s">
        <v>112</v>
      </c>
      <c r="G80" s="16" t="s">
        <v>118</v>
      </c>
      <c r="H80" s="16">
        <v>4</v>
      </c>
      <c r="I80" s="16" t="s">
        <v>114</v>
      </c>
      <c r="J80" s="16" t="s">
        <v>115</v>
      </c>
      <c r="K80" s="16" t="s">
        <v>521</v>
      </c>
      <c r="L80" s="16" t="s">
        <v>119</v>
      </c>
      <c r="M80" s="16" t="s">
        <v>24</v>
      </c>
      <c r="N80" s="16">
        <v>0</v>
      </c>
      <c r="O80" s="16">
        <v>0</v>
      </c>
      <c r="P80" s="16">
        <v>4</v>
      </c>
      <c r="Q80" s="16">
        <f t="shared" si="5"/>
        <v>0</v>
      </c>
      <c r="R80" s="16">
        <f t="shared" si="6"/>
        <v>0</v>
      </c>
      <c r="S80" s="16">
        <f t="shared" si="7"/>
        <v>0</v>
      </c>
      <c r="T80" s="30">
        <f t="shared" si="8"/>
        <v>0</v>
      </c>
      <c r="U80" s="30">
        <f t="shared" si="9"/>
        <v>0</v>
      </c>
    </row>
    <row r="81" spans="1:21" s="16" customFormat="1" ht="20" customHeight="1" x14ac:dyDescent="0.35">
      <c r="A81" s="16" t="s">
        <v>163</v>
      </c>
      <c r="B81" s="28">
        <v>46074</v>
      </c>
      <c r="C81" s="16" t="s">
        <v>42</v>
      </c>
      <c r="D81" s="16" t="s">
        <v>97</v>
      </c>
      <c r="E81" s="29">
        <v>46054</v>
      </c>
      <c r="F81" s="16" t="s">
        <v>65</v>
      </c>
      <c r="G81" s="16" t="s">
        <v>139</v>
      </c>
      <c r="H81" s="16">
        <v>7</v>
      </c>
      <c r="I81" s="16" t="s">
        <v>21</v>
      </c>
      <c r="J81" s="16" t="s">
        <v>99</v>
      </c>
      <c r="K81" s="16" t="s">
        <v>521</v>
      </c>
      <c r="L81" s="16" t="s">
        <v>160</v>
      </c>
      <c r="M81" s="16" t="s">
        <v>24</v>
      </c>
      <c r="N81" s="16">
        <v>0</v>
      </c>
      <c r="O81" s="16">
        <v>0</v>
      </c>
      <c r="P81" s="16">
        <v>0</v>
      </c>
      <c r="Q81" s="16">
        <f t="shared" si="5"/>
        <v>0</v>
      </c>
      <c r="R81" s="16">
        <f t="shared" si="6"/>
        <v>0</v>
      </c>
      <c r="S81" s="16">
        <f t="shared" si="7"/>
        <v>0</v>
      </c>
      <c r="T81" s="30">
        <f t="shared" si="8"/>
        <v>7000</v>
      </c>
      <c r="U81" s="30">
        <f t="shared" si="9"/>
        <v>0</v>
      </c>
    </row>
    <row r="82" spans="1:21" s="16" customFormat="1" ht="20" customHeight="1" x14ac:dyDescent="0.35">
      <c r="A82" s="16" t="s">
        <v>166</v>
      </c>
      <c r="B82" s="28">
        <v>46074</v>
      </c>
      <c r="C82" s="16" t="s">
        <v>42</v>
      </c>
      <c r="D82" s="16" t="s">
        <v>97</v>
      </c>
      <c r="E82" s="29">
        <v>46054</v>
      </c>
      <c r="F82" s="16" t="s">
        <v>65</v>
      </c>
      <c r="G82" s="16" t="s">
        <v>102</v>
      </c>
      <c r="H82" s="16">
        <v>5</v>
      </c>
      <c r="I82" s="16" t="s">
        <v>84</v>
      </c>
      <c r="J82" s="16" t="s">
        <v>99</v>
      </c>
      <c r="K82" s="16" t="s">
        <v>521</v>
      </c>
      <c r="L82" s="16" t="s">
        <v>160</v>
      </c>
      <c r="M82" s="16" t="s">
        <v>24</v>
      </c>
      <c r="N82" s="16">
        <v>0</v>
      </c>
      <c r="O82" s="16">
        <v>0</v>
      </c>
      <c r="P82" s="16">
        <v>0</v>
      </c>
      <c r="Q82" s="16">
        <f t="shared" si="5"/>
        <v>0</v>
      </c>
      <c r="R82" s="16">
        <f t="shared" si="6"/>
        <v>0</v>
      </c>
      <c r="S82" s="16">
        <f t="shared" si="7"/>
        <v>0</v>
      </c>
      <c r="T82" s="30">
        <f t="shared" si="8"/>
        <v>0</v>
      </c>
      <c r="U82" s="30">
        <f t="shared" si="9"/>
        <v>0</v>
      </c>
    </row>
    <row r="83" spans="1:21" s="16" customFormat="1" ht="20" customHeight="1" x14ac:dyDescent="0.35">
      <c r="A83" s="16" t="s">
        <v>167</v>
      </c>
      <c r="B83" s="28">
        <v>46074</v>
      </c>
      <c r="C83" s="16" t="s">
        <v>42</v>
      </c>
      <c r="D83" s="16" t="s">
        <v>97</v>
      </c>
      <c r="E83" s="29">
        <v>46054</v>
      </c>
      <c r="F83" s="16" t="s">
        <v>65</v>
      </c>
      <c r="G83" s="16" t="s">
        <v>105</v>
      </c>
      <c r="H83" s="16">
        <v>4</v>
      </c>
      <c r="I83" s="16" t="s">
        <v>106</v>
      </c>
      <c r="J83" s="16" t="s">
        <v>99</v>
      </c>
      <c r="K83" s="16" t="s">
        <v>521</v>
      </c>
      <c r="L83" s="16" t="s">
        <v>160</v>
      </c>
      <c r="M83" s="16" t="s">
        <v>24</v>
      </c>
      <c r="N83" s="16">
        <v>0</v>
      </c>
      <c r="O83" s="16">
        <v>0</v>
      </c>
      <c r="P83" s="16">
        <v>0</v>
      </c>
      <c r="Q83" s="16">
        <f t="shared" si="5"/>
        <v>0</v>
      </c>
      <c r="R83" s="16">
        <f t="shared" si="6"/>
        <v>0</v>
      </c>
      <c r="S83" s="16">
        <f t="shared" si="7"/>
        <v>0</v>
      </c>
      <c r="T83" s="30">
        <f t="shared" si="8"/>
        <v>0</v>
      </c>
      <c r="U83" s="30">
        <f t="shared" si="9"/>
        <v>4000</v>
      </c>
    </row>
    <row r="84" spans="1:21" s="16" customFormat="1" ht="20" customHeight="1" x14ac:dyDescent="0.35">
      <c r="A84" s="16" t="s">
        <v>169</v>
      </c>
      <c r="B84" s="28">
        <v>46074</v>
      </c>
      <c r="C84" s="16" t="s">
        <v>42</v>
      </c>
      <c r="D84" s="16" t="s">
        <v>97</v>
      </c>
      <c r="E84" s="29">
        <v>46054</v>
      </c>
      <c r="F84" s="16" t="s">
        <v>65</v>
      </c>
      <c r="G84" s="16" t="s">
        <v>164</v>
      </c>
      <c r="H84" s="16">
        <v>1</v>
      </c>
      <c r="I84" s="16" t="s">
        <v>154</v>
      </c>
      <c r="J84" s="16" t="s">
        <v>99</v>
      </c>
      <c r="K84" s="16" t="s">
        <v>521</v>
      </c>
      <c r="L84" s="16" t="s">
        <v>165</v>
      </c>
      <c r="M84" s="16" t="s">
        <v>24</v>
      </c>
      <c r="N84" s="16">
        <v>0</v>
      </c>
      <c r="O84" s="16">
        <v>0</v>
      </c>
      <c r="P84" s="16">
        <v>0</v>
      </c>
      <c r="Q84" s="16">
        <f t="shared" si="5"/>
        <v>0</v>
      </c>
      <c r="R84" s="16">
        <f t="shared" si="6"/>
        <v>0</v>
      </c>
      <c r="S84" s="16">
        <f t="shared" si="7"/>
        <v>0</v>
      </c>
      <c r="T84" s="30">
        <f t="shared" si="8"/>
        <v>0</v>
      </c>
      <c r="U84" s="30">
        <f t="shared" si="9"/>
        <v>0</v>
      </c>
    </row>
    <row r="85" spans="1:21" s="16" customFormat="1" ht="20" customHeight="1" x14ac:dyDescent="0.35">
      <c r="A85" s="16" t="s">
        <v>170</v>
      </c>
      <c r="B85" s="28">
        <v>46074</v>
      </c>
      <c r="C85" s="16" t="s">
        <v>42</v>
      </c>
      <c r="D85" s="16" t="s">
        <v>97</v>
      </c>
      <c r="E85" s="29">
        <v>46054</v>
      </c>
      <c r="F85" s="16" t="s">
        <v>65</v>
      </c>
      <c r="G85" s="16" t="s">
        <v>66</v>
      </c>
      <c r="H85" s="16">
        <v>4</v>
      </c>
      <c r="I85" s="16" t="s">
        <v>67</v>
      </c>
      <c r="J85" s="16" t="s">
        <v>68</v>
      </c>
      <c r="K85" s="16" t="s">
        <v>521</v>
      </c>
      <c r="L85" s="16" t="s">
        <v>69</v>
      </c>
      <c r="M85" s="16" t="s">
        <v>24</v>
      </c>
      <c r="N85" s="16">
        <v>0</v>
      </c>
      <c r="O85" s="16">
        <v>0</v>
      </c>
      <c r="P85" s="16">
        <v>0</v>
      </c>
      <c r="Q85" s="16">
        <f t="shared" si="5"/>
        <v>0</v>
      </c>
      <c r="R85" s="16">
        <f t="shared" si="6"/>
        <v>0</v>
      </c>
      <c r="S85" s="16">
        <f t="shared" si="7"/>
        <v>0</v>
      </c>
      <c r="T85" s="30">
        <f t="shared" si="8"/>
        <v>0</v>
      </c>
      <c r="U85" s="30">
        <f t="shared" si="9"/>
        <v>0</v>
      </c>
    </row>
    <row r="86" spans="1:21" s="16" customFormat="1" ht="20" customHeight="1" x14ac:dyDescent="0.35">
      <c r="A86" s="16" t="s">
        <v>171</v>
      </c>
      <c r="B86" s="28">
        <v>46074</v>
      </c>
      <c r="C86" s="16" t="s">
        <v>42</v>
      </c>
      <c r="D86" s="16" t="s">
        <v>97</v>
      </c>
      <c r="E86" s="29">
        <v>46054</v>
      </c>
      <c r="F86" s="16" t="s">
        <v>26</v>
      </c>
      <c r="G86" s="16" t="s">
        <v>27</v>
      </c>
      <c r="H86" s="16">
        <v>8000</v>
      </c>
      <c r="I86" s="16" t="s">
        <v>28</v>
      </c>
      <c r="J86" s="16" t="s">
        <v>29</v>
      </c>
      <c r="K86" s="16" t="s">
        <v>521</v>
      </c>
      <c r="L86" s="16" t="s">
        <v>168</v>
      </c>
      <c r="M86" s="16" t="s">
        <v>24</v>
      </c>
      <c r="N86" s="16">
        <v>8000</v>
      </c>
      <c r="O86" s="16">
        <v>0</v>
      </c>
      <c r="P86" s="16">
        <v>0</v>
      </c>
      <c r="Q86" s="16">
        <f t="shared" si="5"/>
        <v>0</v>
      </c>
      <c r="R86" s="16">
        <f t="shared" si="6"/>
        <v>0</v>
      </c>
      <c r="S86" s="16">
        <f t="shared" si="7"/>
        <v>0</v>
      </c>
      <c r="T86" s="30">
        <f t="shared" si="8"/>
        <v>0</v>
      </c>
      <c r="U86" s="30">
        <f t="shared" si="9"/>
        <v>0</v>
      </c>
    </row>
    <row r="87" spans="1:21" s="16" customFormat="1" ht="20" customHeight="1" x14ac:dyDescent="0.35">
      <c r="A87" s="16" t="s">
        <v>173</v>
      </c>
      <c r="B87" s="28">
        <v>46074</v>
      </c>
      <c r="C87" s="16" t="s">
        <v>42</v>
      </c>
      <c r="D87" s="16" t="s">
        <v>97</v>
      </c>
      <c r="E87" s="29">
        <v>46054</v>
      </c>
      <c r="F87" s="16" t="s">
        <v>112</v>
      </c>
      <c r="G87" s="16" t="s">
        <v>113</v>
      </c>
      <c r="H87" s="16">
        <v>4</v>
      </c>
      <c r="I87" s="16" t="s">
        <v>114</v>
      </c>
      <c r="J87" s="16" t="s">
        <v>115</v>
      </c>
      <c r="K87" s="16" t="s">
        <v>521</v>
      </c>
      <c r="L87" s="16" t="s">
        <v>116</v>
      </c>
      <c r="M87" s="16" t="s">
        <v>24</v>
      </c>
      <c r="N87" s="16">
        <v>0</v>
      </c>
      <c r="O87" s="16">
        <v>4</v>
      </c>
      <c r="P87" s="16">
        <v>0</v>
      </c>
      <c r="Q87" s="16">
        <f t="shared" si="5"/>
        <v>0</v>
      </c>
      <c r="R87" s="16">
        <f t="shared" si="6"/>
        <v>0</v>
      </c>
      <c r="S87" s="16">
        <f t="shared" si="7"/>
        <v>0</v>
      </c>
      <c r="T87" s="30">
        <f t="shared" si="8"/>
        <v>0</v>
      </c>
      <c r="U87" s="30">
        <f t="shared" si="9"/>
        <v>0</v>
      </c>
    </row>
    <row r="88" spans="1:21" s="16" customFormat="1" ht="20" customHeight="1" x14ac:dyDescent="0.35">
      <c r="A88" s="16" t="s">
        <v>174</v>
      </c>
      <c r="B88" s="28">
        <v>46074</v>
      </c>
      <c r="C88" s="16" t="s">
        <v>42</v>
      </c>
      <c r="D88" s="16" t="s">
        <v>97</v>
      </c>
      <c r="E88" s="29">
        <v>46054</v>
      </c>
      <c r="F88" s="16" t="s">
        <v>112</v>
      </c>
      <c r="G88" s="16" t="s">
        <v>118</v>
      </c>
      <c r="H88" s="16">
        <v>3</v>
      </c>
      <c r="I88" s="16" t="s">
        <v>114</v>
      </c>
      <c r="J88" s="16" t="s">
        <v>115</v>
      </c>
      <c r="K88" s="16" t="s">
        <v>521</v>
      </c>
      <c r="L88" s="16" t="s">
        <v>119</v>
      </c>
      <c r="M88" s="16" t="s">
        <v>24</v>
      </c>
      <c r="N88" s="16">
        <v>0</v>
      </c>
      <c r="O88" s="16">
        <v>0</v>
      </c>
      <c r="P88" s="16">
        <v>3</v>
      </c>
      <c r="Q88" s="16">
        <f t="shared" si="5"/>
        <v>0</v>
      </c>
      <c r="R88" s="16">
        <f t="shared" si="6"/>
        <v>0</v>
      </c>
      <c r="S88" s="16">
        <f t="shared" si="7"/>
        <v>0</v>
      </c>
      <c r="T88" s="30">
        <f t="shared" si="8"/>
        <v>0</v>
      </c>
      <c r="U88" s="30">
        <f t="shared" si="9"/>
        <v>0</v>
      </c>
    </row>
    <row r="89" spans="1:21" s="16" customFormat="1" ht="20" customHeight="1" x14ac:dyDescent="0.35">
      <c r="A89" s="16" t="s">
        <v>175</v>
      </c>
      <c r="B89" s="28">
        <v>46075</v>
      </c>
      <c r="C89" s="16" t="s">
        <v>45</v>
      </c>
      <c r="D89" s="16" t="s">
        <v>97</v>
      </c>
      <c r="E89" s="29">
        <v>46054</v>
      </c>
      <c r="F89" s="16" t="s">
        <v>19</v>
      </c>
      <c r="G89" s="16" t="s">
        <v>60</v>
      </c>
      <c r="H89" s="16">
        <v>40</v>
      </c>
      <c r="I89" s="16" t="s">
        <v>21</v>
      </c>
      <c r="J89" s="16" t="s">
        <v>22</v>
      </c>
      <c r="K89" s="16" t="s">
        <v>521</v>
      </c>
      <c r="L89" s="16" t="s">
        <v>172</v>
      </c>
      <c r="M89" s="16" t="s">
        <v>24</v>
      </c>
      <c r="N89" s="16">
        <v>0</v>
      </c>
      <c r="O89" s="16">
        <v>0</v>
      </c>
      <c r="P89" s="16">
        <v>0</v>
      </c>
      <c r="Q89" s="16">
        <f t="shared" si="5"/>
        <v>0</v>
      </c>
      <c r="R89" s="16">
        <f t="shared" si="6"/>
        <v>32000</v>
      </c>
      <c r="S89" s="16">
        <f t="shared" si="7"/>
        <v>0</v>
      </c>
      <c r="T89" s="30">
        <f t="shared" si="8"/>
        <v>0</v>
      </c>
      <c r="U89" s="30">
        <f t="shared" si="9"/>
        <v>0</v>
      </c>
    </row>
    <row r="90" spans="1:21" s="16" customFormat="1" ht="20" customHeight="1" x14ac:dyDescent="0.35">
      <c r="A90" s="16" t="s">
        <v>176</v>
      </c>
      <c r="B90" s="28">
        <v>46075</v>
      </c>
      <c r="C90" s="16" t="s">
        <v>45</v>
      </c>
      <c r="D90" s="16" t="s">
        <v>97</v>
      </c>
      <c r="E90" s="29">
        <v>46054</v>
      </c>
      <c r="F90" s="16" t="s">
        <v>65</v>
      </c>
      <c r="G90" s="16" t="s">
        <v>139</v>
      </c>
      <c r="H90" s="16">
        <v>50</v>
      </c>
      <c r="I90" s="16" t="s">
        <v>21</v>
      </c>
      <c r="J90" s="16" t="s">
        <v>99</v>
      </c>
      <c r="K90" s="16" t="s">
        <v>521</v>
      </c>
      <c r="L90" s="16" t="s">
        <v>160</v>
      </c>
      <c r="M90" s="16" t="s">
        <v>24</v>
      </c>
      <c r="N90" s="16">
        <v>0</v>
      </c>
      <c r="O90" s="16">
        <v>0</v>
      </c>
      <c r="P90" s="16">
        <v>0</v>
      </c>
      <c r="Q90" s="16">
        <f t="shared" si="5"/>
        <v>0</v>
      </c>
      <c r="R90" s="16">
        <f t="shared" si="6"/>
        <v>0</v>
      </c>
      <c r="S90" s="16">
        <f t="shared" si="7"/>
        <v>0</v>
      </c>
      <c r="T90" s="30">
        <f t="shared" si="8"/>
        <v>50000</v>
      </c>
      <c r="U90" s="30">
        <f t="shared" si="9"/>
        <v>0</v>
      </c>
    </row>
    <row r="91" spans="1:21" s="16" customFormat="1" ht="20" customHeight="1" x14ac:dyDescent="0.35">
      <c r="A91" s="16" t="s">
        <v>178</v>
      </c>
      <c r="B91" s="28">
        <v>46075</v>
      </c>
      <c r="C91" s="16" t="s">
        <v>45</v>
      </c>
      <c r="D91" s="16" t="s">
        <v>97</v>
      </c>
      <c r="E91" s="29">
        <v>46054</v>
      </c>
      <c r="F91" s="16" t="s">
        <v>65</v>
      </c>
      <c r="G91" s="16" t="s">
        <v>102</v>
      </c>
      <c r="H91" s="16">
        <v>35</v>
      </c>
      <c r="I91" s="16" t="s">
        <v>84</v>
      </c>
      <c r="J91" s="16" t="s">
        <v>99</v>
      </c>
      <c r="K91" s="16" t="s">
        <v>521</v>
      </c>
      <c r="L91" s="16" t="s">
        <v>160</v>
      </c>
      <c r="M91" s="16" t="s">
        <v>24</v>
      </c>
      <c r="N91" s="16">
        <v>0</v>
      </c>
      <c r="O91" s="16">
        <v>0</v>
      </c>
      <c r="P91" s="16">
        <v>0</v>
      </c>
      <c r="Q91" s="16">
        <f t="shared" si="5"/>
        <v>0</v>
      </c>
      <c r="R91" s="16">
        <f t="shared" si="6"/>
        <v>0</v>
      </c>
      <c r="S91" s="16">
        <f t="shared" si="7"/>
        <v>0</v>
      </c>
      <c r="T91" s="30">
        <f t="shared" si="8"/>
        <v>0</v>
      </c>
      <c r="U91" s="30">
        <f t="shared" si="9"/>
        <v>0</v>
      </c>
    </row>
    <row r="92" spans="1:21" s="16" customFormat="1" ht="20" customHeight="1" x14ac:dyDescent="0.35">
      <c r="A92" s="16" t="s">
        <v>179</v>
      </c>
      <c r="B92" s="28">
        <v>46075</v>
      </c>
      <c r="C92" s="16" t="s">
        <v>45</v>
      </c>
      <c r="D92" s="16" t="s">
        <v>97</v>
      </c>
      <c r="E92" s="29">
        <v>46054</v>
      </c>
      <c r="F92" s="16" t="s">
        <v>65</v>
      </c>
      <c r="G92" s="16" t="s">
        <v>105</v>
      </c>
      <c r="H92" s="16">
        <v>14</v>
      </c>
      <c r="I92" s="16" t="s">
        <v>106</v>
      </c>
      <c r="J92" s="16" t="s">
        <v>99</v>
      </c>
      <c r="K92" s="16" t="s">
        <v>521</v>
      </c>
      <c r="L92" s="16" t="s">
        <v>160</v>
      </c>
      <c r="M92" s="16" t="s">
        <v>24</v>
      </c>
      <c r="N92" s="16">
        <v>0</v>
      </c>
      <c r="O92" s="16">
        <v>0</v>
      </c>
      <c r="P92" s="16">
        <v>0</v>
      </c>
      <c r="Q92" s="16">
        <f t="shared" si="5"/>
        <v>0</v>
      </c>
      <c r="R92" s="16">
        <f t="shared" si="6"/>
        <v>0</v>
      </c>
      <c r="S92" s="16">
        <f t="shared" si="7"/>
        <v>0</v>
      </c>
      <c r="T92" s="30">
        <f t="shared" si="8"/>
        <v>0</v>
      </c>
      <c r="U92" s="30">
        <f t="shared" si="9"/>
        <v>14000</v>
      </c>
    </row>
    <row r="93" spans="1:21" s="16" customFormat="1" ht="20" customHeight="1" x14ac:dyDescent="0.35">
      <c r="A93" s="16" t="s">
        <v>180</v>
      </c>
      <c r="B93" s="28">
        <v>46075</v>
      </c>
      <c r="C93" s="16" t="s">
        <v>45</v>
      </c>
      <c r="D93" s="16" t="s">
        <v>97</v>
      </c>
      <c r="E93" s="29">
        <v>46054</v>
      </c>
      <c r="F93" s="16" t="s">
        <v>65</v>
      </c>
      <c r="G93" s="16" t="s">
        <v>164</v>
      </c>
      <c r="H93" s="16">
        <v>1</v>
      </c>
      <c r="I93" s="16" t="s">
        <v>154</v>
      </c>
      <c r="J93" s="16" t="s">
        <v>99</v>
      </c>
      <c r="K93" s="16" t="s">
        <v>521</v>
      </c>
      <c r="L93" s="16" t="s">
        <v>177</v>
      </c>
      <c r="M93" s="16" t="s">
        <v>24</v>
      </c>
      <c r="N93" s="16">
        <v>0</v>
      </c>
      <c r="O93" s="16">
        <v>0</v>
      </c>
      <c r="P93" s="16">
        <v>0</v>
      </c>
      <c r="Q93" s="16">
        <f t="shared" si="5"/>
        <v>0</v>
      </c>
      <c r="R93" s="16">
        <f t="shared" si="6"/>
        <v>0</v>
      </c>
      <c r="S93" s="16">
        <f t="shared" si="7"/>
        <v>0</v>
      </c>
      <c r="T93" s="30">
        <f t="shared" si="8"/>
        <v>0</v>
      </c>
      <c r="U93" s="30">
        <f t="shared" si="9"/>
        <v>0</v>
      </c>
    </row>
    <row r="94" spans="1:21" s="16" customFormat="1" ht="20" customHeight="1" x14ac:dyDescent="0.35">
      <c r="A94" s="16" t="s">
        <v>181</v>
      </c>
      <c r="B94" s="28">
        <v>46075</v>
      </c>
      <c r="C94" s="16" t="s">
        <v>45</v>
      </c>
      <c r="D94" s="16" t="s">
        <v>97</v>
      </c>
      <c r="E94" s="29">
        <v>46054</v>
      </c>
      <c r="F94" s="16" t="s">
        <v>65</v>
      </c>
      <c r="G94" s="16" t="s">
        <v>66</v>
      </c>
      <c r="H94" s="16">
        <v>7</v>
      </c>
      <c r="I94" s="16" t="s">
        <v>67</v>
      </c>
      <c r="J94" s="16" t="s">
        <v>68</v>
      </c>
      <c r="K94" s="16" t="s">
        <v>521</v>
      </c>
      <c r="L94" s="16" t="s">
        <v>69</v>
      </c>
      <c r="M94" s="16" t="s">
        <v>24</v>
      </c>
      <c r="N94" s="16">
        <v>0</v>
      </c>
      <c r="O94" s="16">
        <v>0</v>
      </c>
      <c r="P94" s="16">
        <v>0</v>
      </c>
      <c r="Q94" s="16">
        <f t="shared" si="5"/>
        <v>0</v>
      </c>
      <c r="R94" s="16">
        <f t="shared" si="6"/>
        <v>0</v>
      </c>
      <c r="S94" s="16">
        <f t="shared" si="7"/>
        <v>0</v>
      </c>
      <c r="T94" s="30">
        <f t="shared" si="8"/>
        <v>0</v>
      </c>
      <c r="U94" s="30">
        <f t="shared" si="9"/>
        <v>0</v>
      </c>
    </row>
    <row r="95" spans="1:21" s="16" customFormat="1" ht="20" customHeight="1" x14ac:dyDescent="0.35">
      <c r="A95" s="16" t="s">
        <v>182</v>
      </c>
      <c r="B95" s="28">
        <v>46075</v>
      </c>
      <c r="C95" s="16" t="s">
        <v>45</v>
      </c>
      <c r="D95" s="16" t="s">
        <v>97</v>
      </c>
      <c r="E95" s="29">
        <v>46054</v>
      </c>
      <c r="F95" s="16" t="s">
        <v>26</v>
      </c>
      <c r="G95" s="16" t="s">
        <v>27</v>
      </c>
      <c r="H95" s="16">
        <v>15000</v>
      </c>
      <c r="I95" s="16" t="s">
        <v>28</v>
      </c>
      <c r="J95" s="16" t="s">
        <v>29</v>
      </c>
      <c r="K95" s="16" t="s">
        <v>521</v>
      </c>
      <c r="L95" s="16" t="s">
        <v>168</v>
      </c>
      <c r="M95" s="16" t="s">
        <v>24</v>
      </c>
      <c r="N95" s="16">
        <v>15000</v>
      </c>
      <c r="O95" s="16">
        <v>0</v>
      </c>
      <c r="P95" s="16">
        <v>0</v>
      </c>
      <c r="Q95" s="16">
        <f t="shared" si="5"/>
        <v>0</v>
      </c>
      <c r="R95" s="16">
        <f t="shared" si="6"/>
        <v>0</v>
      </c>
      <c r="S95" s="16">
        <f t="shared" si="7"/>
        <v>0</v>
      </c>
      <c r="T95" s="30">
        <f t="shared" si="8"/>
        <v>0</v>
      </c>
      <c r="U95" s="30">
        <f t="shared" si="9"/>
        <v>0</v>
      </c>
    </row>
    <row r="96" spans="1:21" s="16" customFormat="1" ht="20" customHeight="1" x14ac:dyDescent="0.35">
      <c r="A96" s="16" t="s">
        <v>184</v>
      </c>
      <c r="B96" s="28">
        <v>46075</v>
      </c>
      <c r="C96" s="16" t="s">
        <v>45</v>
      </c>
      <c r="D96" s="16" t="s">
        <v>97</v>
      </c>
      <c r="E96" s="29">
        <v>46054</v>
      </c>
      <c r="F96" s="16" t="s">
        <v>112</v>
      </c>
      <c r="G96" s="16" t="s">
        <v>113</v>
      </c>
      <c r="H96" s="16">
        <v>7</v>
      </c>
      <c r="I96" s="16" t="s">
        <v>114</v>
      </c>
      <c r="J96" s="16" t="s">
        <v>115</v>
      </c>
      <c r="K96" s="16" t="s">
        <v>521</v>
      </c>
      <c r="L96" s="16" t="s">
        <v>116</v>
      </c>
      <c r="M96" s="16" t="s">
        <v>24</v>
      </c>
      <c r="N96" s="16">
        <v>0</v>
      </c>
      <c r="O96" s="16">
        <v>7</v>
      </c>
      <c r="P96" s="16">
        <v>0</v>
      </c>
      <c r="Q96" s="16">
        <f t="shared" si="5"/>
        <v>0</v>
      </c>
      <c r="R96" s="16">
        <f t="shared" si="6"/>
        <v>0</v>
      </c>
      <c r="S96" s="16">
        <f t="shared" si="7"/>
        <v>0</v>
      </c>
      <c r="T96" s="30">
        <f t="shared" si="8"/>
        <v>0</v>
      </c>
      <c r="U96" s="30">
        <f t="shared" si="9"/>
        <v>0</v>
      </c>
    </row>
    <row r="97" spans="1:21" s="16" customFormat="1" ht="20" customHeight="1" x14ac:dyDescent="0.35">
      <c r="A97" s="16" t="s">
        <v>185</v>
      </c>
      <c r="B97" s="28">
        <v>46075</v>
      </c>
      <c r="C97" s="16" t="s">
        <v>45</v>
      </c>
      <c r="D97" s="16" t="s">
        <v>97</v>
      </c>
      <c r="E97" s="29">
        <v>46054</v>
      </c>
      <c r="F97" s="16" t="s">
        <v>112</v>
      </c>
      <c r="G97" s="16" t="s">
        <v>118</v>
      </c>
      <c r="H97" s="16">
        <v>5</v>
      </c>
      <c r="I97" s="16" t="s">
        <v>114</v>
      </c>
      <c r="J97" s="16" t="s">
        <v>115</v>
      </c>
      <c r="K97" s="16" t="s">
        <v>521</v>
      </c>
      <c r="L97" s="16" t="s">
        <v>119</v>
      </c>
      <c r="M97" s="16" t="s">
        <v>24</v>
      </c>
      <c r="N97" s="16">
        <v>0</v>
      </c>
      <c r="O97" s="16">
        <v>0</v>
      </c>
      <c r="P97" s="16">
        <v>5</v>
      </c>
      <c r="Q97" s="16">
        <f t="shared" si="5"/>
        <v>0</v>
      </c>
      <c r="R97" s="16">
        <f t="shared" si="6"/>
        <v>0</v>
      </c>
      <c r="S97" s="16">
        <f t="shared" si="7"/>
        <v>0</v>
      </c>
      <c r="T97" s="30">
        <f t="shared" si="8"/>
        <v>0</v>
      </c>
      <c r="U97" s="30">
        <f t="shared" si="9"/>
        <v>0</v>
      </c>
    </row>
    <row r="98" spans="1:21" s="16" customFormat="1" ht="20" customHeight="1" x14ac:dyDescent="0.35">
      <c r="A98" s="16" t="s">
        <v>186</v>
      </c>
      <c r="B98" s="28">
        <v>46076</v>
      </c>
      <c r="C98" s="16" t="s">
        <v>50</v>
      </c>
      <c r="D98" s="16" t="s">
        <v>183</v>
      </c>
      <c r="E98" s="29">
        <v>46054</v>
      </c>
      <c r="F98" s="16" t="s">
        <v>19</v>
      </c>
      <c r="G98" s="16" t="s">
        <v>60</v>
      </c>
      <c r="H98" s="16">
        <v>80</v>
      </c>
      <c r="I98" s="16" t="s">
        <v>21</v>
      </c>
      <c r="J98" s="16" t="s">
        <v>22</v>
      </c>
      <c r="K98" s="16" t="s">
        <v>521</v>
      </c>
      <c r="L98" s="16" t="s">
        <v>172</v>
      </c>
      <c r="M98" s="16" t="s">
        <v>24</v>
      </c>
      <c r="N98" s="16">
        <v>0</v>
      </c>
      <c r="O98" s="16">
        <v>0</v>
      </c>
      <c r="P98" s="16">
        <v>0</v>
      </c>
      <c r="Q98" s="16">
        <f t="shared" si="5"/>
        <v>0</v>
      </c>
      <c r="R98" s="16">
        <f t="shared" si="6"/>
        <v>64000</v>
      </c>
      <c r="S98" s="16">
        <f t="shared" si="7"/>
        <v>0</v>
      </c>
      <c r="T98" s="30">
        <f t="shared" si="8"/>
        <v>0</v>
      </c>
      <c r="U98" s="30">
        <f t="shared" si="9"/>
        <v>0</v>
      </c>
    </row>
    <row r="99" spans="1:21" s="16" customFormat="1" ht="20" customHeight="1" x14ac:dyDescent="0.35">
      <c r="A99" s="16" t="s">
        <v>187</v>
      </c>
      <c r="B99" s="28">
        <v>46076</v>
      </c>
      <c r="C99" s="16" t="s">
        <v>50</v>
      </c>
      <c r="D99" s="16" t="s">
        <v>183</v>
      </c>
      <c r="E99" s="29">
        <v>46054</v>
      </c>
      <c r="F99" s="16" t="s">
        <v>65</v>
      </c>
      <c r="G99" s="16" t="s">
        <v>98</v>
      </c>
      <c r="H99" s="16">
        <v>56</v>
      </c>
      <c r="I99" s="16" t="s">
        <v>21</v>
      </c>
      <c r="J99" s="16" t="s">
        <v>99</v>
      </c>
      <c r="K99" s="16" t="s">
        <v>521</v>
      </c>
      <c r="L99" s="16" t="s">
        <v>100</v>
      </c>
      <c r="M99" s="16" t="s">
        <v>24</v>
      </c>
      <c r="N99" s="16">
        <v>0</v>
      </c>
      <c r="O99" s="16">
        <v>0</v>
      </c>
      <c r="P99" s="16">
        <v>0</v>
      </c>
      <c r="Q99" s="16">
        <f t="shared" si="5"/>
        <v>0</v>
      </c>
      <c r="R99" s="16">
        <f t="shared" si="6"/>
        <v>0</v>
      </c>
      <c r="S99" s="16">
        <f t="shared" si="7"/>
        <v>28000</v>
      </c>
      <c r="T99" s="30">
        <f t="shared" si="8"/>
        <v>0</v>
      </c>
      <c r="U99" s="30">
        <f t="shared" si="9"/>
        <v>0</v>
      </c>
    </row>
    <row r="100" spans="1:21" s="16" customFormat="1" ht="20" customHeight="1" x14ac:dyDescent="0.35">
      <c r="A100" s="16" t="s">
        <v>189</v>
      </c>
      <c r="B100" s="28">
        <v>46076</v>
      </c>
      <c r="C100" s="16" t="s">
        <v>50</v>
      </c>
      <c r="D100" s="16" t="s">
        <v>183</v>
      </c>
      <c r="E100" s="29">
        <v>46054</v>
      </c>
      <c r="F100" s="16" t="s">
        <v>65</v>
      </c>
      <c r="G100" s="16" t="s">
        <v>102</v>
      </c>
      <c r="H100" s="16">
        <v>18</v>
      </c>
      <c r="I100" s="16" t="s">
        <v>84</v>
      </c>
      <c r="J100" s="16" t="s">
        <v>99</v>
      </c>
      <c r="K100" s="16" t="s">
        <v>521</v>
      </c>
      <c r="L100" s="16" t="s">
        <v>103</v>
      </c>
      <c r="M100" s="16" t="s">
        <v>24</v>
      </c>
      <c r="N100" s="16">
        <v>0</v>
      </c>
      <c r="O100" s="16">
        <v>0</v>
      </c>
      <c r="P100" s="16">
        <v>0</v>
      </c>
      <c r="Q100" s="16">
        <f t="shared" si="5"/>
        <v>0</v>
      </c>
      <c r="R100" s="16">
        <f t="shared" si="6"/>
        <v>0</v>
      </c>
      <c r="S100" s="16">
        <f t="shared" si="7"/>
        <v>0</v>
      </c>
      <c r="T100" s="30">
        <f t="shared" si="8"/>
        <v>0</v>
      </c>
      <c r="U100" s="30">
        <f t="shared" si="9"/>
        <v>0</v>
      </c>
    </row>
    <row r="101" spans="1:21" s="16" customFormat="1" ht="20" customHeight="1" x14ac:dyDescent="0.35">
      <c r="A101" s="16" t="s">
        <v>190</v>
      </c>
      <c r="B101" s="28">
        <v>46076</v>
      </c>
      <c r="C101" s="16" t="s">
        <v>50</v>
      </c>
      <c r="D101" s="16" t="s">
        <v>183</v>
      </c>
      <c r="E101" s="29">
        <v>46054</v>
      </c>
      <c r="F101" s="16" t="s">
        <v>65</v>
      </c>
      <c r="G101" s="16" t="s">
        <v>105</v>
      </c>
      <c r="H101" s="16">
        <v>9</v>
      </c>
      <c r="I101" s="16" t="s">
        <v>106</v>
      </c>
      <c r="J101" s="16" t="s">
        <v>99</v>
      </c>
      <c r="K101" s="16" t="s">
        <v>521</v>
      </c>
      <c r="L101" s="16" t="s">
        <v>103</v>
      </c>
      <c r="M101" s="16" t="s">
        <v>24</v>
      </c>
      <c r="N101" s="16">
        <v>0</v>
      </c>
      <c r="O101" s="16">
        <v>0</v>
      </c>
      <c r="P101" s="16">
        <v>0</v>
      </c>
      <c r="Q101" s="16">
        <f t="shared" si="5"/>
        <v>0</v>
      </c>
      <c r="R101" s="16">
        <f t="shared" si="6"/>
        <v>0</v>
      </c>
      <c r="S101" s="16">
        <f t="shared" si="7"/>
        <v>0</v>
      </c>
      <c r="T101" s="30">
        <f t="shared" si="8"/>
        <v>0</v>
      </c>
      <c r="U101" s="30">
        <f t="shared" si="9"/>
        <v>9000</v>
      </c>
    </row>
    <row r="102" spans="1:21" s="16" customFormat="1" ht="20" customHeight="1" x14ac:dyDescent="0.35">
      <c r="A102" s="16" t="s">
        <v>191</v>
      </c>
      <c r="B102" s="28">
        <v>46076</v>
      </c>
      <c r="C102" s="16" t="s">
        <v>50</v>
      </c>
      <c r="D102" s="16" t="s">
        <v>183</v>
      </c>
      <c r="E102" s="29">
        <v>46054</v>
      </c>
      <c r="F102" s="16" t="s">
        <v>65</v>
      </c>
      <c r="G102" s="16" t="s">
        <v>164</v>
      </c>
      <c r="H102" s="16">
        <v>4</v>
      </c>
      <c r="I102" s="16" t="s">
        <v>106</v>
      </c>
      <c r="J102" s="16" t="s">
        <v>99</v>
      </c>
      <c r="K102" s="16" t="s">
        <v>521</v>
      </c>
      <c r="L102" s="16" t="s">
        <v>188</v>
      </c>
      <c r="M102" s="16" t="s">
        <v>24</v>
      </c>
      <c r="N102" s="16">
        <v>0</v>
      </c>
      <c r="O102" s="16">
        <v>0</v>
      </c>
      <c r="P102" s="16">
        <v>0</v>
      </c>
      <c r="Q102" s="16">
        <f t="shared" si="5"/>
        <v>0</v>
      </c>
      <c r="R102" s="16">
        <f t="shared" si="6"/>
        <v>0</v>
      </c>
      <c r="S102" s="16">
        <f t="shared" si="7"/>
        <v>0</v>
      </c>
      <c r="T102" s="30">
        <f t="shared" si="8"/>
        <v>0</v>
      </c>
      <c r="U102" s="30">
        <f t="shared" si="9"/>
        <v>0</v>
      </c>
    </row>
    <row r="103" spans="1:21" s="16" customFormat="1" ht="20" customHeight="1" x14ac:dyDescent="0.35">
      <c r="A103" s="16" t="s">
        <v>192</v>
      </c>
      <c r="B103" s="28">
        <v>46076</v>
      </c>
      <c r="C103" s="16" t="s">
        <v>50</v>
      </c>
      <c r="D103" s="16" t="s">
        <v>183</v>
      </c>
      <c r="E103" s="29">
        <v>46054</v>
      </c>
      <c r="F103" s="16" t="s">
        <v>26</v>
      </c>
      <c r="G103" s="16" t="s">
        <v>27</v>
      </c>
      <c r="H103" s="16">
        <v>12000</v>
      </c>
      <c r="I103" s="16" t="s">
        <v>28</v>
      </c>
      <c r="J103" s="16" t="s">
        <v>29</v>
      </c>
      <c r="K103" s="16" t="s">
        <v>521</v>
      </c>
      <c r="L103" s="16" t="s">
        <v>127</v>
      </c>
      <c r="M103" s="16" t="s">
        <v>24</v>
      </c>
      <c r="N103" s="16">
        <v>12000</v>
      </c>
      <c r="O103" s="16">
        <v>0</v>
      </c>
      <c r="P103" s="16">
        <v>0</v>
      </c>
      <c r="Q103" s="16">
        <f t="shared" si="5"/>
        <v>0</v>
      </c>
      <c r="R103" s="16">
        <f t="shared" si="6"/>
        <v>0</v>
      </c>
      <c r="S103" s="16">
        <f t="shared" si="7"/>
        <v>0</v>
      </c>
      <c r="T103" s="30">
        <f t="shared" si="8"/>
        <v>0</v>
      </c>
      <c r="U103" s="30">
        <f t="shared" si="9"/>
        <v>0</v>
      </c>
    </row>
    <row r="104" spans="1:21" s="16" customFormat="1" ht="20" customHeight="1" x14ac:dyDescent="0.35">
      <c r="A104" s="16" t="s">
        <v>193</v>
      </c>
      <c r="B104" s="28">
        <v>46076</v>
      </c>
      <c r="C104" s="16" t="s">
        <v>50</v>
      </c>
      <c r="D104" s="16" t="s">
        <v>183</v>
      </c>
      <c r="E104" s="29">
        <v>46054</v>
      </c>
      <c r="F104" s="16" t="s">
        <v>112</v>
      </c>
      <c r="G104" s="16" t="s">
        <v>113</v>
      </c>
      <c r="H104" s="16">
        <v>6</v>
      </c>
      <c r="I104" s="16" t="s">
        <v>114</v>
      </c>
      <c r="J104" s="16" t="s">
        <v>115</v>
      </c>
      <c r="K104" s="16" t="s">
        <v>521</v>
      </c>
      <c r="L104" s="16" t="s">
        <v>116</v>
      </c>
      <c r="M104" s="16" t="s">
        <v>24</v>
      </c>
      <c r="N104" s="16">
        <v>0</v>
      </c>
      <c r="O104" s="16">
        <v>6</v>
      </c>
      <c r="P104" s="16">
        <v>0</v>
      </c>
      <c r="Q104" s="16">
        <f t="shared" si="5"/>
        <v>0</v>
      </c>
      <c r="R104" s="16">
        <f t="shared" si="6"/>
        <v>0</v>
      </c>
      <c r="S104" s="16">
        <f t="shared" si="7"/>
        <v>0</v>
      </c>
      <c r="T104" s="30">
        <f t="shared" si="8"/>
        <v>0</v>
      </c>
      <c r="U104" s="30">
        <f t="shared" si="9"/>
        <v>0</v>
      </c>
    </row>
    <row r="105" spans="1:21" s="16" customFormat="1" ht="20" customHeight="1" x14ac:dyDescent="0.35">
      <c r="A105" s="16" t="s">
        <v>194</v>
      </c>
      <c r="B105" s="28">
        <v>46076</v>
      </c>
      <c r="C105" s="16" t="s">
        <v>50</v>
      </c>
      <c r="D105" s="16" t="s">
        <v>183</v>
      </c>
      <c r="E105" s="29">
        <v>46054</v>
      </c>
      <c r="F105" s="16" t="s">
        <v>112</v>
      </c>
      <c r="G105" s="16" t="s">
        <v>118</v>
      </c>
      <c r="H105" s="16">
        <v>4</v>
      </c>
      <c r="I105" s="16" t="s">
        <v>114</v>
      </c>
      <c r="J105" s="16" t="s">
        <v>115</v>
      </c>
      <c r="K105" s="16" t="s">
        <v>521</v>
      </c>
      <c r="L105" s="16" t="s">
        <v>119</v>
      </c>
      <c r="M105" s="16" t="s">
        <v>24</v>
      </c>
      <c r="N105" s="16">
        <v>0</v>
      </c>
      <c r="O105" s="16">
        <v>0</v>
      </c>
      <c r="P105" s="16">
        <v>4</v>
      </c>
      <c r="Q105" s="16">
        <f t="shared" si="5"/>
        <v>0</v>
      </c>
      <c r="R105" s="16">
        <f t="shared" si="6"/>
        <v>0</v>
      </c>
      <c r="S105" s="16">
        <f t="shared" si="7"/>
        <v>0</v>
      </c>
      <c r="T105" s="30">
        <f t="shared" si="8"/>
        <v>0</v>
      </c>
      <c r="U105" s="30">
        <f t="shared" si="9"/>
        <v>0</v>
      </c>
    </row>
    <row r="106" spans="1:21" s="16" customFormat="1" ht="20" customHeight="1" x14ac:dyDescent="0.35">
      <c r="A106" s="16" t="s">
        <v>195</v>
      </c>
      <c r="B106" s="28">
        <v>46077</v>
      </c>
      <c r="C106" s="16" t="s">
        <v>17</v>
      </c>
      <c r="D106" s="16" t="s">
        <v>183</v>
      </c>
      <c r="E106" s="29">
        <v>46054</v>
      </c>
      <c r="F106" s="16" t="s">
        <v>19</v>
      </c>
      <c r="G106" s="16" t="s">
        <v>60</v>
      </c>
      <c r="H106" s="16">
        <v>86</v>
      </c>
      <c r="I106" s="16" t="s">
        <v>21</v>
      </c>
      <c r="J106" s="16" t="s">
        <v>22</v>
      </c>
      <c r="K106" s="16" t="s">
        <v>521</v>
      </c>
      <c r="L106" s="16" t="s">
        <v>172</v>
      </c>
      <c r="M106" s="16" t="s">
        <v>24</v>
      </c>
      <c r="N106" s="16">
        <v>0</v>
      </c>
      <c r="O106" s="16">
        <v>0</v>
      </c>
      <c r="P106" s="16">
        <v>0</v>
      </c>
      <c r="Q106" s="16">
        <f t="shared" si="5"/>
        <v>0</v>
      </c>
      <c r="R106" s="16">
        <f t="shared" si="6"/>
        <v>68800</v>
      </c>
      <c r="S106" s="16">
        <f t="shared" si="7"/>
        <v>0</v>
      </c>
      <c r="T106" s="30">
        <f t="shared" si="8"/>
        <v>0</v>
      </c>
      <c r="U106" s="30">
        <f t="shared" si="9"/>
        <v>0</v>
      </c>
    </row>
    <row r="107" spans="1:21" s="16" customFormat="1" ht="20" customHeight="1" x14ac:dyDescent="0.35">
      <c r="A107" s="16" t="s">
        <v>196</v>
      </c>
      <c r="B107" s="28">
        <v>46077</v>
      </c>
      <c r="C107" s="16" t="s">
        <v>17</v>
      </c>
      <c r="D107" s="16" t="s">
        <v>183</v>
      </c>
      <c r="E107" s="29">
        <v>46054</v>
      </c>
      <c r="F107" s="16" t="s">
        <v>65</v>
      </c>
      <c r="G107" s="16" t="s">
        <v>98</v>
      </c>
      <c r="H107" s="16">
        <v>7</v>
      </c>
      <c r="I107" s="16" t="s">
        <v>21</v>
      </c>
      <c r="J107" s="16" t="s">
        <v>99</v>
      </c>
      <c r="K107" s="16" t="s">
        <v>521</v>
      </c>
      <c r="L107" s="16" t="s">
        <v>100</v>
      </c>
      <c r="M107" s="16" t="s">
        <v>24</v>
      </c>
      <c r="N107" s="16">
        <v>0</v>
      </c>
      <c r="O107" s="16">
        <v>0</v>
      </c>
      <c r="P107" s="16">
        <v>0</v>
      </c>
      <c r="Q107" s="16">
        <f t="shared" si="5"/>
        <v>0</v>
      </c>
      <c r="R107" s="16">
        <f t="shared" si="6"/>
        <v>0</v>
      </c>
      <c r="S107" s="16">
        <f t="shared" si="7"/>
        <v>3500</v>
      </c>
      <c r="T107" s="30">
        <f t="shared" si="8"/>
        <v>0</v>
      </c>
      <c r="U107" s="30">
        <f t="shared" si="9"/>
        <v>0</v>
      </c>
    </row>
    <row r="108" spans="1:21" s="16" customFormat="1" ht="20" customHeight="1" x14ac:dyDescent="0.35">
      <c r="A108" s="16" t="s">
        <v>197</v>
      </c>
      <c r="B108" s="28">
        <v>46077</v>
      </c>
      <c r="C108" s="16" t="s">
        <v>17</v>
      </c>
      <c r="D108" s="16" t="s">
        <v>183</v>
      </c>
      <c r="E108" s="29">
        <v>46054</v>
      </c>
      <c r="F108" s="16" t="s">
        <v>65</v>
      </c>
      <c r="G108" s="16" t="s">
        <v>139</v>
      </c>
      <c r="H108" s="16">
        <v>40</v>
      </c>
      <c r="I108" s="16" t="s">
        <v>21</v>
      </c>
      <c r="J108" s="16" t="s">
        <v>99</v>
      </c>
      <c r="K108" s="16" t="s">
        <v>521</v>
      </c>
      <c r="L108" s="16" t="s">
        <v>160</v>
      </c>
      <c r="M108" s="16" t="s">
        <v>24</v>
      </c>
      <c r="N108" s="16">
        <v>0</v>
      </c>
      <c r="O108" s="16">
        <v>0</v>
      </c>
      <c r="P108" s="16">
        <v>0</v>
      </c>
      <c r="Q108" s="16">
        <f t="shared" si="5"/>
        <v>0</v>
      </c>
      <c r="R108" s="16">
        <f t="shared" si="6"/>
        <v>0</v>
      </c>
      <c r="S108" s="16">
        <f t="shared" si="7"/>
        <v>0</v>
      </c>
      <c r="T108" s="30">
        <f t="shared" si="8"/>
        <v>40000</v>
      </c>
      <c r="U108" s="30">
        <f t="shared" si="9"/>
        <v>0</v>
      </c>
    </row>
    <row r="109" spans="1:21" s="16" customFormat="1" ht="20" customHeight="1" x14ac:dyDescent="0.35">
      <c r="A109" s="16" t="s">
        <v>198</v>
      </c>
      <c r="B109" s="28">
        <v>46077</v>
      </c>
      <c r="C109" s="16" t="s">
        <v>17</v>
      </c>
      <c r="D109" s="16" t="s">
        <v>183</v>
      </c>
      <c r="E109" s="29">
        <v>46054</v>
      </c>
      <c r="F109" s="16" t="s">
        <v>65</v>
      </c>
      <c r="G109" s="16" t="s">
        <v>102</v>
      </c>
      <c r="H109" s="16">
        <v>26</v>
      </c>
      <c r="I109" s="16" t="s">
        <v>84</v>
      </c>
      <c r="J109" s="16" t="s">
        <v>99</v>
      </c>
      <c r="K109" s="16" t="s">
        <v>521</v>
      </c>
      <c r="L109" s="16" t="s">
        <v>141</v>
      </c>
      <c r="M109" s="16" t="s">
        <v>24</v>
      </c>
      <c r="N109" s="16">
        <v>0</v>
      </c>
      <c r="O109" s="16">
        <v>0</v>
      </c>
      <c r="P109" s="16">
        <v>0</v>
      </c>
      <c r="Q109" s="16">
        <f t="shared" si="5"/>
        <v>0</v>
      </c>
      <c r="R109" s="16">
        <f t="shared" si="6"/>
        <v>0</v>
      </c>
      <c r="S109" s="16">
        <f t="shared" si="7"/>
        <v>0</v>
      </c>
      <c r="T109" s="30">
        <f t="shared" si="8"/>
        <v>0</v>
      </c>
      <c r="U109" s="30">
        <f t="shared" si="9"/>
        <v>0</v>
      </c>
    </row>
    <row r="110" spans="1:21" s="16" customFormat="1" ht="20" customHeight="1" x14ac:dyDescent="0.35">
      <c r="A110" s="16" t="s">
        <v>199</v>
      </c>
      <c r="B110" s="28">
        <v>46077</v>
      </c>
      <c r="C110" s="16" t="s">
        <v>17</v>
      </c>
      <c r="D110" s="16" t="s">
        <v>183</v>
      </c>
      <c r="E110" s="29">
        <v>46054</v>
      </c>
      <c r="F110" s="16" t="s">
        <v>65</v>
      </c>
      <c r="G110" s="16" t="s">
        <v>105</v>
      </c>
      <c r="H110" s="16">
        <v>15</v>
      </c>
      <c r="I110" s="16" t="s">
        <v>106</v>
      </c>
      <c r="J110" s="16" t="s">
        <v>99</v>
      </c>
      <c r="K110" s="16" t="s">
        <v>521</v>
      </c>
      <c r="L110" s="16" t="s">
        <v>141</v>
      </c>
      <c r="M110" s="16" t="s">
        <v>24</v>
      </c>
      <c r="N110" s="16">
        <v>0</v>
      </c>
      <c r="O110" s="16">
        <v>0</v>
      </c>
      <c r="P110" s="16">
        <v>0</v>
      </c>
      <c r="Q110" s="16">
        <f t="shared" si="5"/>
        <v>0</v>
      </c>
      <c r="R110" s="16">
        <f t="shared" si="6"/>
        <v>0</v>
      </c>
      <c r="S110" s="16">
        <f t="shared" si="7"/>
        <v>0</v>
      </c>
      <c r="T110" s="30">
        <f t="shared" si="8"/>
        <v>0</v>
      </c>
      <c r="U110" s="30">
        <f t="shared" si="9"/>
        <v>15000</v>
      </c>
    </row>
    <row r="111" spans="1:21" s="16" customFormat="1" ht="20" customHeight="1" x14ac:dyDescent="0.35">
      <c r="A111" s="16" t="s">
        <v>200</v>
      </c>
      <c r="B111" s="28">
        <v>46077</v>
      </c>
      <c r="C111" s="16" t="s">
        <v>17</v>
      </c>
      <c r="D111" s="16" t="s">
        <v>183</v>
      </c>
      <c r="E111" s="29">
        <v>46054</v>
      </c>
      <c r="F111" s="16" t="s">
        <v>26</v>
      </c>
      <c r="G111" s="16" t="s">
        <v>27</v>
      </c>
      <c r="H111" s="16">
        <v>14000</v>
      </c>
      <c r="I111" s="16" t="s">
        <v>28</v>
      </c>
      <c r="J111" s="16" t="s">
        <v>29</v>
      </c>
      <c r="K111" s="16" t="s">
        <v>521</v>
      </c>
      <c r="L111" s="16" t="s">
        <v>146</v>
      </c>
      <c r="M111" s="16" t="s">
        <v>24</v>
      </c>
      <c r="N111" s="16">
        <v>14000</v>
      </c>
      <c r="O111" s="16">
        <v>0</v>
      </c>
      <c r="P111" s="16">
        <v>0</v>
      </c>
      <c r="Q111" s="16">
        <f t="shared" si="5"/>
        <v>0</v>
      </c>
      <c r="R111" s="16">
        <f t="shared" si="6"/>
        <v>0</v>
      </c>
      <c r="S111" s="16">
        <f t="shared" si="7"/>
        <v>0</v>
      </c>
      <c r="T111" s="30">
        <f t="shared" si="8"/>
        <v>0</v>
      </c>
      <c r="U111" s="30">
        <f t="shared" si="9"/>
        <v>0</v>
      </c>
    </row>
    <row r="112" spans="1:21" s="16" customFormat="1" ht="20" customHeight="1" x14ac:dyDescent="0.35">
      <c r="A112" s="16" t="s">
        <v>201</v>
      </c>
      <c r="B112" s="28">
        <v>46077</v>
      </c>
      <c r="C112" s="16" t="s">
        <v>17</v>
      </c>
      <c r="D112" s="16" t="s">
        <v>183</v>
      </c>
      <c r="E112" s="29">
        <v>46054</v>
      </c>
      <c r="F112" s="16" t="s">
        <v>112</v>
      </c>
      <c r="G112" s="16" t="s">
        <v>113</v>
      </c>
      <c r="H112" s="16">
        <v>7</v>
      </c>
      <c r="I112" s="16" t="s">
        <v>114</v>
      </c>
      <c r="J112" s="16" t="s">
        <v>115</v>
      </c>
      <c r="K112" s="16" t="s">
        <v>521</v>
      </c>
      <c r="L112" s="16" t="s">
        <v>116</v>
      </c>
      <c r="M112" s="16" t="s">
        <v>24</v>
      </c>
      <c r="N112" s="16">
        <v>0</v>
      </c>
      <c r="O112" s="16">
        <v>7</v>
      </c>
      <c r="P112" s="16">
        <v>0</v>
      </c>
      <c r="Q112" s="16">
        <f t="shared" si="5"/>
        <v>0</v>
      </c>
      <c r="R112" s="16">
        <f t="shared" si="6"/>
        <v>0</v>
      </c>
      <c r="S112" s="16">
        <f t="shared" si="7"/>
        <v>0</v>
      </c>
      <c r="T112" s="30">
        <f t="shared" si="8"/>
        <v>0</v>
      </c>
      <c r="U112" s="30">
        <f t="shared" si="9"/>
        <v>0</v>
      </c>
    </row>
    <row r="113" spans="1:21" s="16" customFormat="1" ht="20" customHeight="1" x14ac:dyDescent="0.35">
      <c r="A113" s="16" t="s">
        <v>202</v>
      </c>
      <c r="B113" s="28">
        <v>46077</v>
      </c>
      <c r="C113" s="16" t="s">
        <v>17</v>
      </c>
      <c r="D113" s="16" t="s">
        <v>183</v>
      </c>
      <c r="E113" s="29">
        <v>46054</v>
      </c>
      <c r="F113" s="16" t="s">
        <v>112</v>
      </c>
      <c r="G113" s="16" t="s">
        <v>118</v>
      </c>
      <c r="H113" s="16">
        <v>5</v>
      </c>
      <c r="I113" s="16" t="s">
        <v>114</v>
      </c>
      <c r="J113" s="16" t="s">
        <v>115</v>
      </c>
      <c r="K113" s="16" t="s">
        <v>521</v>
      </c>
      <c r="L113" s="16" t="s">
        <v>119</v>
      </c>
      <c r="M113" s="16" t="s">
        <v>24</v>
      </c>
      <c r="N113" s="16">
        <v>0</v>
      </c>
      <c r="O113" s="16">
        <v>0</v>
      </c>
      <c r="P113" s="16">
        <v>5</v>
      </c>
      <c r="Q113" s="16">
        <f t="shared" si="5"/>
        <v>0</v>
      </c>
      <c r="R113" s="16">
        <f t="shared" si="6"/>
        <v>0</v>
      </c>
      <c r="S113" s="16">
        <f t="shared" si="7"/>
        <v>0</v>
      </c>
      <c r="T113" s="30">
        <f t="shared" si="8"/>
        <v>0</v>
      </c>
      <c r="U113" s="30">
        <f t="shared" si="9"/>
        <v>0</v>
      </c>
    </row>
    <row r="114" spans="1:21" s="16" customFormat="1" ht="20" customHeight="1" x14ac:dyDescent="0.35">
      <c r="A114" s="16" t="s">
        <v>203</v>
      </c>
      <c r="B114" s="28">
        <v>46078</v>
      </c>
      <c r="C114" s="16" t="s">
        <v>32</v>
      </c>
      <c r="D114" s="16" t="s">
        <v>183</v>
      </c>
      <c r="E114" s="29">
        <v>46054</v>
      </c>
      <c r="F114" s="16" t="s">
        <v>19</v>
      </c>
      <c r="G114" s="16" t="s">
        <v>60</v>
      </c>
      <c r="H114" s="16">
        <v>58</v>
      </c>
      <c r="I114" s="16" t="s">
        <v>21</v>
      </c>
      <c r="J114" s="16" t="s">
        <v>22</v>
      </c>
      <c r="K114" s="16" t="s">
        <v>521</v>
      </c>
      <c r="L114" s="16" t="s">
        <v>172</v>
      </c>
      <c r="M114" s="16" t="s">
        <v>24</v>
      </c>
      <c r="N114" s="16">
        <v>0</v>
      </c>
      <c r="O114" s="16">
        <v>0</v>
      </c>
      <c r="P114" s="16">
        <v>0</v>
      </c>
      <c r="Q114" s="16">
        <f t="shared" si="5"/>
        <v>0</v>
      </c>
      <c r="R114" s="16">
        <f t="shared" si="6"/>
        <v>46400</v>
      </c>
      <c r="S114" s="16">
        <f t="shared" si="7"/>
        <v>0</v>
      </c>
      <c r="T114" s="30">
        <f t="shared" si="8"/>
        <v>0</v>
      </c>
      <c r="U114" s="30">
        <f t="shared" si="9"/>
        <v>0</v>
      </c>
    </row>
    <row r="115" spans="1:21" s="16" customFormat="1" ht="20" customHeight="1" x14ac:dyDescent="0.35">
      <c r="A115" s="16" t="s">
        <v>204</v>
      </c>
      <c r="B115" s="28">
        <v>46078</v>
      </c>
      <c r="C115" s="16" t="s">
        <v>32</v>
      </c>
      <c r="D115" s="16" t="s">
        <v>183</v>
      </c>
      <c r="E115" s="29">
        <v>46054</v>
      </c>
      <c r="F115" s="16" t="s">
        <v>65</v>
      </c>
      <c r="G115" s="16" t="s">
        <v>139</v>
      </c>
      <c r="H115" s="16">
        <v>56</v>
      </c>
      <c r="I115" s="16" t="s">
        <v>21</v>
      </c>
      <c r="J115" s="16" t="s">
        <v>99</v>
      </c>
      <c r="K115" s="16" t="s">
        <v>521</v>
      </c>
      <c r="L115" s="16" t="s">
        <v>160</v>
      </c>
      <c r="M115" s="16" t="s">
        <v>24</v>
      </c>
      <c r="N115" s="16">
        <v>0</v>
      </c>
      <c r="O115" s="16">
        <v>0</v>
      </c>
      <c r="P115" s="16">
        <v>0</v>
      </c>
      <c r="Q115" s="16">
        <f t="shared" si="5"/>
        <v>0</v>
      </c>
      <c r="R115" s="16">
        <f t="shared" si="6"/>
        <v>0</v>
      </c>
      <c r="S115" s="16">
        <f t="shared" si="7"/>
        <v>0</v>
      </c>
      <c r="T115" s="30">
        <f t="shared" si="8"/>
        <v>56000</v>
      </c>
      <c r="U115" s="30">
        <f t="shared" si="9"/>
        <v>0</v>
      </c>
    </row>
    <row r="116" spans="1:21" s="16" customFormat="1" ht="20" customHeight="1" x14ac:dyDescent="0.35">
      <c r="A116" s="16" t="s">
        <v>205</v>
      </c>
      <c r="B116" s="28">
        <v>46078</v>
      </c>
      <c r="C116" s="16" t="s">
        <v>32</v>
      </c>
      <c r="D116" s="16" t="s">
        <v>183</v>
      </c>
      <c r="E116" s="29">
        <v>46054</v>
      </c>
      <c r="F116" s="16" t="s">
        <v>65</v>
      </c>
      <c r="G116" s="16" t="s">
        <v>102</v>
      </c>
      <c r="H116" s="16">
        <v>44</v>
      </c>
      <c r="I116" s="16" t="s">
        <v>84</v>
      </c>
      <c r="J116" s="16" t="s">
        <v>99</v>
      </c>
      <c r="K116" s="16" t="s">
        <v>521</v>
      </c>
      <c r="L116" s="16" t="s">
        <v>160</v>
      </c>
      <c r="M116" s="16" t="s">
        <v>24</v>
      </c>
      <c r="N116" s="16">
        <v>0</v>
      </c>
      <c r="O116" s="16">
        <v>0</v>
      </c>
      <c r="P116" s="16">
        <v>0</v>
      </c>
      <c r="Q116" s="16">
        <f t="shared" si="5"/>
        <v>0</v>
      </c>
      <c r="R116" s="16">
        <f t="shared" si="6"/>
        <v>0</v>
      </c>
      <c r="S116" s="16">
        <f t="shared" si="7"/>
        <v>0</v>
      </c>
      <c r="T116" s="30">
        <f t="shared" si="8"/>
        <v>0</v>
      </c>
      <c r="U116" s="30">
        <f t="shared" si="9"/>
        <v>0</v>
      </c>
    </row>
    <row r="117" spans="1:21" s="16" customFormat="1" ht="20" customHeight="1" x14ac:dyDescent="0.35">
      <c r="A117" s="16" t="s">
        <v>206</v>
      </c>
      <c r="B117" s="28">
        <v>46078</v>
      </c>
      <c r="C117" s="16" t="s">
        <v>32</v>
      </c>
      <c r="D117" s="16" t="s">
        <v>183</v>
      </c>
      <c r="E117" s="29">
        <v>46054</v>
      </c>
      <c r="F117" s="16" t="s">
        <v>65</v>
      </c>
      <c r="G117" s="16" t="s">
        <v>105</v>
      </c>
      <c r="H117" s="16">
        <v>16</v>
      </c>
      <c r="I117" s="16" t="s">
        <v>106</v>
      </c>
      <c r="J117" s="16" t="s">
        <v>99</v>
      </c>
      <c r="K117" s="16" t="s">
        <v>521</v>
      </c>
      <c r="L117" s="16" t="s">
        <v>160</v>
      </c>
      <c r="M117" s="16" t="s">
        <v>24</v>
      </c>
      <c r="N117" s="16">
        <v>0</v>
      </c>
      <c r="O117" s="16">
        <v>0</v>
      </c>
      <c r="P117" s="16">
        <v>0</v>
      </c>
      <c r="Q117" s="16">
        <f t="shared" si="5"/>
        <v>0</v>
      </c>
      <c r="R117" s="16">
        <f t="shared" si="6"/>
        <v>0</v>
      </c>
      <c r="S117" s="16">
        <f t="shared" si="7"/>
        <v>0</v>
      </c>
      <c r="T117" s="30">
        <f t="shared" si="8"/>
        <v>0</v>
      </c>
      <c r="U117" s="30">
        <f t="shared" si="9"/>
        <v>16000</v>
      </c>
    </row>
    <row r="118" spans="1:21" s="16" customFormat="1" ht="20" customHeight="1" x14ac:dyDescent="0.35">
      <c r="A118" s="16" t="s">
        <v>207</v>
      </c>
      <c r="B118" s="28">
        <v>46078</v>
      </c>
      <c r="C118" s="16" t="s">
        <v>32</v>
      </c>
      <c r="D118" s="16" t="s">
        <v>183</v>
      </c>
      <c r="E118" s="29">
        <v>46054</v>
      </c>
      <c r="F118" s="16" t="s">
        <v>26</v>
      </c>
      <c r="G118" s="16" t="s">
        <v>27</v>
      </c>
      <c r="H118" s="16">
        <v>16000</v>
      </c>
      <c r="I118" s="16" t="s">
        <v>28</v>
      </c>
      <c r="J118" s="16" t="s">
        <v>29</v>
      </c>
      <c r="K118" s="16" t="s">
        <v>521</v>
      </c>
      <c r="L118" s="16" t="s">
        <v>168</v>
      </c>
      <c r="M118" s="16" t="s">
        <v>24</v>
      </c>
      <c r="N118" s="16">
        <v>16000</v>
      </c>
      <c r="O118" s="16">
        <v>0</v>
      </c>
      <c r="P118" s="16">
        <v>0</v>
      </c>
      <c r="Q118" s="16">
        <f t="shared" si="5"/>
        <v>0</v>
      </c>
      <c r="R118" s="16">
        <f t="shared" si="6"/>
        <v>0</v>
      </c>
      <c r="S118" s="16">
        <f t="shared" si="7"/>
        <v>0</v>
      </c>
      <c r="T118" s="30">
        <f t="shared" si="8"/>
        <v>0</v>
      </c>
      <c r="U118" s="30">
        <f t="shared" si="9"/>
        <v>0</v>
      </c>
    </row>
    <row r="119" spans="1:21" s="16" customFormat="1" ht="20" customHeight="1" x14ac:dyDescent="0.35">
      <c r="A119" s="16" t="s">
        <v>209</v>
      </c>
      <c r="B119" s="28">
        <v>46078</v>
      </c>
      <c r="C119" s="16" t="s">
        <v>32</v>
      </c>
      <c r="D119" s="16" t="s">
        <v>183</v>
      </c>
      <c r="E119" s="29">
        <v>46054</v>
      </c>
      <c r="F119" s="16" t="s">
        <v>112</v>
      </c>
      <c r="G119" s="16" t="s">
        <v>113</v>
      </c>
      <c r="H119" s="16">
        <v>7</v>
      </c>
      <c r="I119" s="16" t="s">
        <v>114</v>
      </c>
      <c r="J119" s="16" t="s">
        <v>115</v>
      </c>
      <c r="K119" s="16" t="s">
        <v>521</v>
      </c>
      <c r="L119" s="16" t="s">
        <v>116</v>
      </c>
      <c r="M119" s="16" t="s">
        <v>24</v>
      </c>
      <c r="N119" s="16">
        <v>0</v>
      </c>
      <c r="O119" s="16">
        <v>7</v>
      </c>
      <c r="P119" s="16">
        <v>0</v>
      </c>
      <c r="Q119" s="16">
        <f t="shared" si="5"/>
        <v>0</v>
      </c>
      <c r="R119" s="16">
        <f t="shared" si="6"/>
        <v>0</v>
      </c>
      <c r="S119" s="16">
        <f t="shared" si="7"/>
        <v>0</v>
      </c>
      <c r="T119" s="30">
        <f t="shared" si="8"/>
        <v>0</v>
      </c>
      <c r="U119" s="30">
        <f t="shared" si="9"/>
        <v>0</v>
      </c>
    </row>
    <row r="120" spans="1:21" s="16" customFormat="1" ht="20" customHeight="1" x14ac:dyDescent="0.35">
      <c r="A120" s="16" t="s">
        <v>214</v>
      </c>
      <c r="B120" s="28">
        <v>46078</v>
      </c>
      <c r="C120" s="16" t="s">
        <v>32</v>
      </c>
      <c r="D120" s="16" t="s">
        <v>183</v>
      </c>
      <c r="E120" s="29">
        <v>46054</v>
      </c>
      <c r="F120" s="16" t="s">
        <v>112</v>
      </c>
      <c r="G120" s="16" t="s">
        <v>118</v>
      </c>
      <c r="H120" s="16">
        <v>5</v>
      </c>
      <c r="I120" s="16" t="s">
        <v>114</v>
      </c>
      <c r="J120" s="16" t="s">
        <v>115</v>
      </c>
      <c r="K120" s="16" t="s">
        <v>521</v>
      </c>
      <c r="L120" s="16" t="s">
        <v>119</v>
      </c>
      <c r="M120" s="16" t="s">
        <v>24</v>
      </c>
      <c r="N120" s="16">
        <v>0</v>
      </c>
      <c r="O120" s="16">
        <v>0</v>
      </c>
      <c r="P120" s="16">
        <v>5</v>
      </c>
      <c r="Q120" s="16">
        <f t="shared" si="5"/>
        <v>0</v>
      </c>
      <c r="R120" s="16">
        <f t="shared" si="6"/>
        <v>0</v>
      </c>
      <c r="S120" s="16">
        <f t="shared" si="7"/>
        <v>0</v>
      </c>
      <c r="T120" s="30">
        <f t="shared" si="8"/>
        <v>0</v>
      </c>
      <c r="U120" s="30">
        <f t="shared" si="9"/>
        <v>0</v>
      </c>
    </row>
    <row r="121" spans="1:21" s="16" customFormat="1" ht="20" customHeight="1" x14ac:dyDescent="0.35">
      <c r="A121" s="16" t="s">
        <v>215</v>
      </c>
      <c r="B121" s="28">
        <v>46079</v>
      </c>
      <c r="C121" s="16" t="s">
        <v>36</v>
      </c>
      <c r="D121" s="16" t="s">
        <v>183</v>
      </c>
      <c r="E121" s="29">
        <v>46054</v>
      </c>
      <c r="F121" s="16" t="s">
        <v>19</v>
      </c>
      <c r="G121" s="16" t="s">
        <v>60</v>
      </c>
      <c r="H121" s="16">
        <v>0</v>
      </c>
      <c r="I121" s="16" t="s">
        <v>21</v>
      </c>
      <c r="J121" s="16" t="s">
        <v>22</v>
      </c>
      <c r="K121" s="16" t="s">
        <v>521</v>
      </c>
      <c r="L121" s="16" t="s">
        <v>208</v>
      </c>
      <c r="M121" s="16" t="s">
        <v>24</v>
      </c>
      <c r="N121" s="16">
        <v>0</v>
      </c>
      <c r="O121" s="16">
        <v>0</v>
      </c>
      <c r="P121" s="16">
        <v>0</v>
      </c>
      <c r="Q121" s="16">
        <f t="shared" si="5"/>
        <v>0</v>
      </c>
      <c r="R121" s="16">
        <f t="shared" si="6"/>
        <v>0</v>
      </c>
      <c r="S121" s="16">
        <f t="shared" si="7"/>
        <v>0</v>
      </c>
      <c r="T121" s="30">
        <f t="shared" si="8"/>
        <v>0</v>
      </c>
      <c r="U121" s="30">
        <f t="shared" si="9"/>
        <v>0</v>
      </c>
    </row>
    <row r="122" spans="1:21" s="16" customFormat="1" ht="20" customHeight="1" x14ac:dyDescent="0.35">
      <c r="A122" s="16" t="s">
        <v>216</v>
      </c>
      <c r="B122" s="28">
        <v>46079</v>
      </c>
      <c r="C122" s="16" t="s">
        <v>36</v>
      </c>
      <c r="D122" s="16" t="s">
        <v>183</v>
      </c>
      <c r="E122" s="29">
        <v>46054</v>
      </c>
      <c r="F122" s="16" t="s">
        <v>82</v>
      </c>
      <c r="G122" s="16" t="s">
        <v>210</v>
      </c>
      <c r="H122" s="16">
        <v>34</v>
      </c>
      <c r="I122" s="16" t="s">
        <v>84</v>
      </c>
      <c r="J122" s="16" t="s">
        <v>211</v>
      </c>
      <c r="K122" s="16" t="s">
        <v>521</v>
      </c>
      <c r="L122" s="16" t="s">
        <v>212</v>
      </c>
      <c r="M122" s="16" t="s">
        <v>213</v>
      </c>
      <c r="N122" s="16">
        <v>0</v>
      </c>
      <c r="O122" s="16">
        <v>0</v>
      </c>
      <c r="P122" s="16">
        <v>0</v>
      </c>
      <c r="Q122" s="16">
        <f t="shared" si="5"/>
        <v>0</v>
      </c>
      <c r="R122" s="16">
        <f t="shared" si="6"/>
        <v>0</v>
      </c>
      <c r="S122" s="16">
        <f t="shared" si="7"/>
        <v>0</v>
      </c>
      <c r="T122" s="30">
        <f t="shared" si="8"/>
        <v>0</v>
      </c>
      <c r="U122" s="30">
        <f t="shared" si="9"/>
        <v>0</v>
      </c>
    </row>
    <row r="123" spans="1:21" s="16" customFormat="1" ht="20" customHeight="1" x14ac:dyDescent="0.35">
      <c r="A123" s="16" t="s">
        <v>217</v>
      </c>
      <c r="B123" s="28">
        <v>46079</v>
      </c>
      <c r="C123" s="16" t="s">
        <v>36</v>
      </c>
      <c r="D123" s="16" t="s">
        <v>183</v>
      </c>
      <c r="E123" s="29">
        <v>46054</v>
      </c>
      <c r="F123" s="16" t="s">
        <v>65</v>
      </c>
      <c r="G123" s="16" t="s">
        <v>98</v>
      </c>
      <c r="H123" s="16">
        <v>50</v>
      </c>
      <c r="I123" s="16" t="s">
        <v>21</v>
      </c>
      <c r="J123" s="16" t="s">
        <v>99</v>
      </c>
      <c r="K123" s="16" t="s">
        <v>521</v>
      </c>
      <c r="L123" s="16" t="s">
        <v>100</v>
      </c>
      <c r="M123" s="16" t="s">
        <v>24</v>
      </c>
      <c r="N123" s="16">
        <v>0</v>
      </c>
      <c r="O123" s="16">
        <v>0</v>
      </c>
      <c r="P123" s="16">
        <v>0</v>
      </c>
      <c r="Q123" s="16">
        <f t="shared" si="5"/>
        <v>0</v>
      </c>
      <c r="R123" s="16">
        <f t="shared" si="6"/>
        <v>0</v>
      </c>
      <c r="S123" s="16">
        <f t="shared" si="7"/>
        <v>25000</v>
      </c>
      <c r="T123" s="30">
        <f t="shared" si="8"/>
        <v>0</v>
      </c>
      <c r="U123" s="30">
        <f t="shared" si="9"/>
        <v>0</v>
      </c>
    </row>
    <row r="124" spans="1:21" s="16" customFormat="1" ht="20" customHeight="1" x14ac:dyDescent="0.35">
      <c r="A124" s="16" t="s">
        <v>218</v>
      </c>
      <c r="B124" s="28">
        <v>46079</v>
      </c>
      <c r="C124" s="16" t="s">
        <v>36</v>
      </c>
      <c r="D124" s="16" t="s">
        <v>183</v>
      </c>
      <c r="E124" s="29">
        <v>46054</v>
      </c>
      <c r="F124" s="16" t="s">
        <v>65</v>
      </c>
      <c r="G124" s="16" t="s">
        <v>139</v>
      </c>
      <c r="H124" s="16">
        <v>50</v>
      </c>
      <c r="I124" s="16" t="s">
        <v>21</v>
      </c>
      <c r="J124" s="16" t="s">
        <v>99</v>
      </c>
      <c r="K124" s="16" t="s">
        <v>521</v>
      </c>
      <c r="L124" s="16" t="s">
        <v>160</v>
      </c>
      <c r="M124" s="16" t="s">
        <v>24</v>
      </c>
      <c r="N124" s="16">
        <v>0</v>
      </c>
      <c r="O124" s="16">
        <v>0</v>
      </c>
      <c r="P124" s="16">
        <v>0</v>
      </c>
      <c r="Q124" s="16">
        <f t="shared" si="5"/>
        <v>0</v>
      </c>
      <c r="R124" s="16">
        <f t="shared" si="6"/>
        <v>0</v>
      </c>
      <c r="S124" s="16">
        <f t="shared" si="7"/>
        <v>0</v>
      </c>
      <c r="T124" s="30">
        <f t="shared" si="8"/>
        <v>50000</v>
      </c>
      <c r="U124" s="30">
        <f t="shared" si="9"/>
        <v>0</v>
      </c>
    </row>
    <row r="125" spans="1:21" s="16" customFormat="1" ht="20" customHeight="1" x14ac:dyDescent="0.35">
      <c r="A125" s="16" t="s">
        <v>219</v>
      </c>
      <c r="B125" s="28">
        <v>46079</v>
      </c>
      <c r="C125" s="16" t="s">
        <v>36</v>
      </c>
      <c r="D125" s="16" t="s">
        <v>183</v>
      </c>
      <c r="E125" s="29">
        <v>46054</v>
      </c>
      <c r="F125" s="16" t="s">
        <v>65</v>
      </c>
      <c r="G125" s="16" t="s">
        <v>102</v>
      </c>
      <c r="H125" s="16">
        <v>32</v>
      </c>
      <c r="I125" s="16" t="s">
        <v>84</v>
      </c>
      <c r="J125" s="16" t="s">
        <v>99</v>
      </c>
      <c r="K125" s="16" t="s">
        <v>521</v>
      </c>
      <c r="L125" s="16" t="s">
        <v>141</v>
      </c>
      <c r="M125" s="16" t="s">
        <v>24</v>
      </c>
      <c r="N125" s="16">
        <v>0</v>
      </c>
      <c r="O125" s="16">
        <v>0</v>
      </c>
      <c r="P125" s="16">
        <v>0</v>
      </c>
      <c r="Q125" s="16">
        <f t="shared" si="5"/>
        <v>0</v>
      </c>
      <c r="R125" s="16">
        <f t="shared" si="6"/>
        <v>0</v>
      </c>
      <c r="S125" s="16">
        <f t="shared" si="7"/>
        <v>0</v>
      </c>
      <c r="T125" s="30">
        <f t="shared" si="8"/>
        <v>0</v>
      </c>
      <c r="U125" s="30">
        <f t="shared" si="9"/>
        <v>0</v>
      </c>
    </row>
    <row r="126" spans="1:21" s="16" customFormat="1" ht="20" customHeight="1" x14ac:dyDescent="0.35">
      <c r="A126" s="16" t="s">
        <v>220</v>
      </c>
      <c r="B126" s="28">
        <v>46079</v>
      </c>
      <c r="C126" s="16" t="s">
        <v>36</v>
      </c>
      <c r="D126" s="16" t="s">
        <v>183</v>
      </c>
      <c r="E126" s="29">
        <v>46054</v>
      </c>
      <c r="F126" s="16" t="s">
        <v>65</v>
      </c>
      <c r="G126" s="16" t="s">
        <v>105</v>
      </c>
      <c r="H126" s="16">
        <v>14</v>
      </c>
      <c r="I126" s="16" t="s">
        <v>106</v>
      </c>
      <c r="J126" s="16" t="s">
        <v>99</v>
      </c>
      <c r="K126" s="16" t="s">
        <v>521</v>
      </c>
      <c r="L126" s="16" t="s">
        <v>141</v>
      </c>
      <c r="M126" s="16" t="s">
        <v>24</v>
      </c>
      <c r="N126" s="16">
        <v>0</v>
      </c>
      <c r="O126" s="16">
        <v>0</v>
      </c>
      <c r="P126" s="16">
        <v>0</v>
      </c>
      <c r="Q126" s="16">
        <f t="shared" si="5"/>
        <v>0</v>
      </c>
      <c r="R126" s="16">
        <f t="shared" si="6"/>
        <v>0</v>
      </c>
      <c r="S126" s="16">
        <f t="shared" si="7"/>
        <v>0</v>
      </c>
      <c r="T126" s="30">
        <f t="shared" si="8"/>
        <v>0</v>
      </c>
      <c r="U126" s="30">
        <f t="shared" si="9"/>
        <v>14000</v>
      </c>
    </row>
    <row r="127" spans="1:21" s="16" customFormat="1" ht="20" customHeight="1" x14ac:dyDescent="0.35">
      <c r="A127" s="16" t="s">
        <v>221</v>
      </c>
      <c r="B127" s="28">
        <v>46079</v>
      </c>
      <c r="C127" s="16" t="s">
        <v>36</v>
      </c>
      <c r="D127" s="16" t="s">
        <v>183</v>
      </c>
      <c r="E127" s="29">
        <v>46054</v>
      </c>
      <c r="F127" s="16" t="s">
        <v>26</v>
      </c>
      <c r="G127" s="16" t="s">
        <v>27</v>
      </c>
      <c r="H127" s="16">
        <v>12000</v>
      </c>
      <c r="I127" s="16" t="s">
        <v>28</v>
      </c>
      <c r="J127" s="16" t="s">
        <v>29</v>
      </c>
      <c r="K127" s="16" t="s">
        <v>521</v>
      </c>
      <c r="L127" s="16" t="s">
        <v>146</v>
      </c>
      <c r="M127" s="16" t="s">
        <v>24</v>
      </c>
      <c r="N127" s="16">
        <v>12000</v>
      </c>
      <c r="O127" s="16">
        <v>0</v>
      </c>
      <c r="P127" s="16">
        <v>0</v>
      </c>
      <c r="Q127" s="16">
        <f t="shared" si="5"/>
        <v>0</v>
      </c>
      <c r="R127" s="16">
        <f t="shared" si="6"/>
        <v>0</v>
      </c>
      <c r="S127" s="16">
        <f t="shared" si="7"/>
        <v>0</v>
      </c>
      <c r="T127" s="30">
        <f t="shared" si="8"/>
        <v>0</v>
      </c>
      <c r="U127" s="30">
        <f t="shared" si="9"/>
        <v>0</v>
      </c>
    </row>
    <row r="128" spans="1:21" s="16" customFormat="1" ht="20" customHeight="1" x14ac:dyDescent="0.35">
      <c r="A128" s="16" t="s">
        <v>222</v>
      </c>
      <c r="B128" s="28">
        <v>46079</v>
      </c>
      <c r="C128" s="16" t="s">
        <v>36</v>
      </c>
      <c r="D128" s="16" t="s">
        <v>183</v>
      </c>
      <c r="E128" s="29">
        <v>46054</v>
      </c>
      <c r="F128" s="16" t="s">
        <v>112</v>
      </c>
      <c r="G128" s="16" t="s">
        <v>113</v>
      </c>
      <c r="H128" s="16">
        <v>6</v>
      </c>
      <c r="I128" s="16" t="s">
        <v>114</v>
      </c>
      <c r="J128" s="16" t="s">
        <v>115</v>
      </c>
      <c r="K128" s="16" t="s">
        <v>521</v>
      </c>
      <c r="L128" s="16" t="s">
        <v>116</v>
      </c>
      <c r="M128" s="16" t="s">
        <v>24</v>
      </c>
      <c r="N128" s="16">
        <v>0</v>
      </c>
      <c r="O128" s="16">
        <v>6</v>
      </c>
      <c r="P128" s="16">
        <v>0</v>
      </c>
      <c r="Q128" s="16">
        <f t="shared" si="5"/>
        <v>0</v>
      </c>
      <c r="R128" s="16">
        <f t="shared" si="6"/>
        <v>0</v>
      </c>
      <c r="S128" s="16">
        <f t="shared" si="7"/>
        <v>0</v>
      </c>
      <c r="T128" s="30">
        <f t="shared" si="8"/>
        <v>0</v>
      </c>
      <c r="U128" s="30">
        <f t="shared" si="9"/>
        <v>0</v>
      </c>
    </row>
    <row r="129" spans="1:21" s="16" customFormat="1" ht="20" customHeight="1" x14ac:dyDescent="0.35">
      <c r="A129" s="16" t="s">
        <v>223</v>
      </c>
      <c r="B129" s="28">
        <v>46079</v>
      </c>
      <c r="C129" s="16" t="s">
        <v>36</v>
      </c>
      <c r="D129" s="16" t="s">
        <v>183</v>
      </c>
      <c r="E129" s="29">
        <v>46054</v>
      </c>
      <c r="F129" s="16" t="s">
        <v>112</v>
      </c>
      <c r="G129" s="16" t="s">
        <v>118</v>
      </c>
      <c r="H129" s="16">
        <v>4</v>
      </c>
      <c r="I129" s="16" t="s">
        <v>114</v>
      </c>
      <c r="J129" s="16" t="s">
        <v>115</v>
      </c>
      <c r="K129" s="16" t="s">
        <v>521</v>
      </c>
      <c r="L129" s="16" t="s">
        <v>119</v>
      </c>
      <c r="M129" s="16" t="s">
        <v>24</v>
      </c>
      <c r="N129" s="16">
        <v>0</v>
      </c>
      <c r="O129" s="16">
        <v>0</v>
      </c>
      <c r="P129" s="16">
        <v>4</v>
      </c>
      <c r="Q129" s="16">
        <f t="shared" si="5"/>
        <v>0</v>
      </c>
      <c r="R129" s="16">
        <f t="shared" si="6"/>
        <v>0</v>
      </c>
      <c r="S129" s="16">
        <f t="shared" si="7"/>
        <v>0</v>
      </c>
      <c r="T129" s="30">
        <f t="shared" si="8"/>
        <v>0</v>
      </c>
      <c r="U129" s="30">
        <f t="shared" si="9"/>
        <v>0</v>
      </c>
    </row>
    <row r="130" spans="1:21" s="16" customFormat="1" ht="20" customHeight="1" x14ac:dyDescent="0.35">
      <c r="A130" s="16" t="s">
        <v>224</v>
      </c>
      <c r="B130" s="28">
        <v>46080</v>
      </c>
      <c r="C130" s="16" t="s">
        <v>39</v>
      </c>
      <c r="D130" s="16" t="s">
        <v>183</v>
      </c>
      <c r="E130" s="29">
        <v>46054</v>
      </c>
      <c r="F130" s="16" t="s">
        <v>19</v>
      </c>
      <c r="G130" s="16" t="s">
        <v>60</v>
      </c>
      <c r="H130" s="16">
        <v>47.5</v>
      </c>
      <c r="I130" s="16" t="s">
        <v>21</v>
      </c>
      <c r="J130" s="16" t="s">
        <v>22</v>
      </c>
      <c r="K130" s="16" t="s">
        <v>521</v>
      </c>
      <c r="L130" s="16" t="s">
        <v>61</v>
      </c>
      <c r="M130" s="16" t="s">
        <v>24</v>
      </c>
      <c r="N130" s="16">
        <v>0</v>
      </c>
      <c r="O130" s="16">
        <v>0</v>
      </c>
      <c r="P130" s="16">
        <v>0</v>
      </c>
      <c r="Q130" s="16">
        <f t="shared" ref="Q130:Q193" si="10">IF(AND(OR(F130="Work",F130="Adjustment"),OR(ISNUMBER(SEARCH("Excavation",G130)),G130="Excavation Repair")),IF(K130="Chairman Street",800,IF(K130="INEC Street",1000,0)),0)</f>
        <v>0</v>
      </c>
      <c r="R130" s="16">
        <f t="shared" ref="R130:R193" si="11">IF(AND(OR(F130="Work", F130="Adjustment"), OR(ISNUMBER(SEARCH("Excavation", G130)), G130="Excavation Repair")), H130 * IF(K130="Site A", 800, IF(K130="Site B", 1000, 0)), 0)</f>
        <v>38000</v>
      </c>
      <c r="S130" s="16">
        <f t="shared" ref="S130:S193" si="12">IF(G130="Base Casting",H130*500,0)</f>
        <v>0</v>
      </c>
      <c r="T130" s="30">
        <f t="shared" ref="T130:T193" si="13">IF(G130="Wall Casting",H130*1000,0)</f>
        <v>0</v>
      </c>
      <c r="U130" s="30">
        <f t="shared" ref="U130:U193" si="14">IF(G130="Water Supply",H130*1000,0)</f>
        <v>0</v>
      </c>
    </row>
    <row r="131" spans="1:21" s="16" customFormat="1" ht="20" customHeight="1" x14ac:dyDescent="0.35">
      <c r="A131" s="16" t="s">
        <v>225</v>
      </c>
      <c r="B131" s="28">
        <v>46080</v>
      </c>
      <c r="C131" s="16" t="s">
        <v>39</v>
      </c>
      <c r="D131" s="16" t="s">
        <v>183</v>
      </c>
      <c r="E131" s="29">
        <v>46054</v>
      </c>
      <c r="F131" s="16" t="s">
        <v>65</v>
      </c>
      <c r="G131" s="16" t="s">
        <v>139</v>
      </c>
      <c r="H131" s="16">
        <v>41.8</v>
      </c>
      <c r="I131" s="16" t="s">
        <v>21</v>
      </c>
      <c r="J131" s="16" t="s">
        <v>99</v>
      </c>
      <c r="K131" s="16" t="s">
        <v>521</v>
      </c>
      <c r="L131" s="16" t="s">
        <v>160</v>
      </c>
      <c r="M131" s="16" t="s">
        <v>24</v>
      </c>
      <c r="N131" s="16">
        <v>0</v>
      </c>
      <c r="O131" s="16">
        <v>0</v>
      </c>
      <c r="P131" s="16">
        <v>0</v>
      </c>
      <c r="Q131" s="16">
        <f t="shared" si="10"/>
        <v>0</v>
      </c>
      <c r="R131" s="16">
        <f t="shared" si="11"/>
        <v>0</v>
      </c>
      <c r="S131" s="16">
        <f t="shared" si="12"/>
        <v>0</v>
      </c>
      <c r="T131" s="30">
        <f t="shared" si="13"/>
        <v>41800</v>
      </c>
      <c r="U131" s="30">
        <f t="shared" si="14"/>
        <v>0</v>
      </c>
    </row>
    <row r="132" spans="1:21" s="16" customFormat="1" ht="20" customHeight="1" x14ac:dyDescent="0.35">
      <c r="A132" s="16" t="s">
        <v>226</v>
      </c>
      <c r="B132" s="28">
        <v>46080</v>
      </c>
      <c r="C132" s="16" t="s">
        <v>39</v>
      </c>
      <c r="D132" s="16" t="s">
        <v>183</v>
      </c>
      <c r="E132" s="29">
        <v>46054</v>
      </c>
      <c r="F132" s="16" t="s">
        <v>65</v>
      </c>
      <c r="G132" s="16" t="s">
        <v>102</v>
      </c>
      <c r="H132" s="16">
        <v>20.5</v>
      </c>
      <c r="I132" s="16" t="s">
        <v>84</v>
      </c>
      <c r="J132" s="16" t="s">
        <v>99</v>
      </c>
      <c r="K132" s="16" t="s">
        <v>521</v>
      </c>
      <c r="L132" s="16" t="s">
        <v>160</v>
      </c>
      <c r="M132" s="16" t="s">
        <v>24</v>
      </c>
      <c r="N132" s="16">
        <v>0</v>
      </c>
      <c r="O132" s="16">
        <v>0</v>
      </c>
      <c r="P132" s="16">
        <v>0</v>
      </c>
      <c r="Q132" s="16">
        <f t="shared" si="10"/>
        <v>0</v>
      </c>
      <c r="R132" s="16">
        <f t="shared" si="11"/>
        <v>0</v>
      </c>
      <c r="S132" s="16">
        <f t="shared" si="12"/>
        <v>0</v>
      </c>
      <c r="T132" s="30">
        <f t="shared" si="13"/>
        <v>0</v>
      </c>
      <c r="U132" s="30">
        <f t="shared" si="14"/>
        <v>0</v>
      </c>
    </row>
    <row r="133" spans="1:21" s="16" customFormat="1" ht="20" customHeight="1" x14ac:dyDescent="0.35">
      <c r="A133" s="16" t="s">
        <v>227</v>
      </c>
      <c r="B133" s="28">
        <v>46080</v>
      </c>
      <c r="C133" s="16" t="s">
        <v>39</v>
      </c>
      <c r="D133" s="16" t="s">
        <v>183</v>
      </c>
      <c r="E133" s="29">
        <v>46054</v>
      </c>
      <c r="F133" s="16" t="s">
        <v>65</v>
      </c>
      <c r="G133" s="16" t="s">
        <v>105</v>
      </c>
      <c r="H133" s="16">
        <v>14</v>
      </c>
      <c r="I133" s="16" t="s">
        <v>106</v>
      </c>
      <c r="J133" s="16" t="s">
        <v>99</v>
      </c>
      <c r="K133" s="16" t="s">
        <v>521</v>
      </c>
      <c r="L133" s="16" t="s">
        <v>160</v>
      </c>
      <c r="M133" s="16" t="s">
        <v>24</v>
      </c>
      <c r="N133" s="16">
        <v>0</v>
      </c>
      <c r="O133" s="16">
        <v>0</v>
      </c>
      <c r="P133" s="16">
        <v>0</v>
      </c>
      <c r="Q133" s="16">
        <f t="shared" si="10"/>
        <v>0</v>
      </c>
      <c r="R133" s="16">
        <f t="shared" si="11"/>
        <v>0</v>
      </c>
      <c r="S133" s="16">
        <f t="shared" si="12"/>
        <v>0</v>
      </c>
      <c r="T133" s="30">
        <f t="shared" si="13"/>
        <v>0</v>
      </c>
      <c r="U133" s="30">
        <f t="shared" si="14"/>
        <v>14000</v>
      </c>
    </row>
    <row r="134" spans="1:21" s="16" customFormat="1" ht="20" customHeight="1" x14ac:dyDescent="0.35">
      <c r="A134" s="16" t="s">
        <v>228</v>
      </c>
      <c r="B134" s="28">
        <v>46080</v>
      </c>
      <c r="C134" s="16" t="s">
        <v>39</v>
      </c>
      <c r="D134" s="16" t="s">
        <v>183</v>
      </c>
      <c r="E134" s="29">
        <v>46054</v>
      </c>
      <c r="F134" s="16" t="s">
        <v>26</v>
      </c>
      <c r="G134" s="16" t="s">
        <v>27</v>
      </c>
      <c r="H134" s="16">
        <v>12000</v>
      </c>
      <c r="I134" s="16" t="s">
        <v>28</v>
      </c>
      <c r="J134" s="16" t="s">
        <v>29</v>
      </c>
      <c r="K134" s="16" t="s">
        <v>521</v>
      </c>
      <c r="L134" s="16" t="s">
        <v>168</v>
      </c>
      <c r="M134" s="16" t="s">
        <v>24</v>
      </c>
      <c r="N134" s="16">
        <v>12000</v>
      </c>
      <c r="O134" s="16">
        <v>0</v>
      </c>
      <c r="P134" s="16">
        <v>0</v>
      </c>
      <c r="Q134" s="16">
        <f t="shared" si="10"/>
        <v>0</v>
      </c>
      <c r="R134" s="16">
        <f t="shared" si="11"/>
        <v>0</v>
      </c>
      <c r="S134" s="16">
        <f t="shared" si="12"/>
        <v>0</v>
      </c>
      <c r="T134" s="30">
        <f t="shared" si="13"/>
        <v>0</v>
      </c>
      <c r="U134" s="30">
        <f t="shared" si="14"/>
        <v>0</v>
      </c>
    </row>
    <row r="135" spans="1:21" s="16" customFormat="1" ht="20" customHeight="1" x14ac:dyDescent="0.35">
      <c r="A135" s="16" t="s">
        <v>229</v>
      </c>
      <c r="B135" s="28">
        <v>46080</v>
      </c>
      <c r="C135" s="16" t="s">
        <v>39</v>
      </c>
      <c r="D135" s="16" t="s">
        <v>183</v>
      </c>
      <c r="E135" s="29">
        <v>46054</v>
      </c>
      <c r="F135" s="16" t="s">
        <v>112</v>
      </c>
      <c r="G135" s="16" t="s">
        <v>113</v>
      </c>
      <c r="H135" s="16">
        <v>6</v>
      </c>
      <c r="I135" s="16" t="s">
        <v>114</v>
      </c>
      <c r="J135" s="16" t="s">
        <v>115</v>
      </c>
      <c r="K135" s="16" t="s">
        <v>521</v>
      </c>
      <c r="L135" s="16" t="s">
        <v>116</v>
      </c>
      <c r="M135" s="16" t="s">
        <v>24</v>
      </c>
      <c r="N135" s="16">
        <v>0</v>
      </c>
      <c r="O135" s="16">
        <v>6</v>
      </c>
      <c r="P135" s="16">
        <v>0</v>
      </c>
      <c r="Q135" s="16">
        <f t="shared" si="10"/>
        <v>0</v>
      </c>
      <c r="R135" s="16">
        <f t="shared" si="11"/>
        <v>0</v>
      </c>
      <c r="S135" s="16">
        <f t="shared" si="12"/>
        <v>0</v>
      </c>
      <c r="T135" s="30">
        <f t="shared" si="13"/>
        <v>0</v>
      </c>
      <c r="U135" s="30">
        <f t="shared" si="14"/>
        <v>0</v>
      </c>
    </row>
    <row r="136" spans="1:21" s="16" customFormat="1" ht="20" customHeight="1" x14ac:dyDescent="0.35">
      <c r="A136" s="16" t="s">
        <v>230</v>
      </c>
      <c r="B136" s="28">
        <v>46080</v>
      </c>
      <c r="C136" s="16" t="s">
        <v>39</v>
      </c>
      <c r="D136" s="16" t="s">
        <v>183</v>
      </c>
      <c r="E136" s="29">
        <v>46054</v>
      </c>
      <c r="F136" s="16" t="s">
        <v>112</v>
      </c>
      <c r="G136" s="16" t="s">
        <v>118</v>
      </c>
      <c r="H136" s="16">
        <v>4</v>
      </c>
      <c r="I136" s="16" t="s">
        <v>114</v>
      </c>
      <c r="J136" s="16" t="s">
        <v>115</v>
      </c>
      <c r="K136" s="16" t="s">
        <v>521</v>
      </c>
      <c r="L136" s="16" t="s">
        <v>119</v>
      </c>
      <c r="M136" s="16" t="s">
        <v>24</v>
      </c>
      <c r="N136" s="16">
        <v>0</v>
      </c>
      <c r="O136" s="16">
        <v>0</v>
      </c>
      <c r="P136" s="16">
        <v>4</v>
      </c>
      <c r="Q136" s="16">
        <f t="shared" si="10"/>
        <v>0</v>
      </c>
      <c r="R136" s="16">
        <f t="shared" si="11"/>
        <v>0</v>
      </c>
      <c r="S136" s="16">
        <f t="shared" si="12"/>
        <v>0</v>
      </c>
      <c r="T136" s="30">
        <f t="shared" si="13"/>
        <v>0</v>
      </c>
      <c r="U136" s="30">
        <f t="shared" si="14"/>
        <v>0</v>
      </c>
    </row>
    <row r="137" spans="1:21" s="16" customFormat="1" ht="20" customHeight="1" x14ac:dyDescent="0.35">
      <c r="A137" s="16" t="s">
        <v>231</v>
      </c>
      <c r="B137" s="28">
        <v>46081</v>
      </c>
      <c r="C137" s="16" t="s">
        <v>42</v>
      </c>
      <c r="D137" s="16" t="s">
        <v>183</v>
      </c>
      <c r="E137" s="29">
        <v>46054</v>
      </c>
      <c r="F137" s="16" t="s">
        <v>65</v>
      </c>
      <c r="G137" s="16" t="s">
        <v>139</v>
      </c>
      <c r="H137" s="16">
        <v>80</v>
      </c>
      <c r="I137" s="16" t="s">
        <v>21</v>
      </c>
      <c r="J137" s="16" t="s">
        <v>99</v>
      </c>
      <c r="K137" s="16" t="s">
        <v>521</v>
      </c>
      <c r="L137" s="16" t="s">
        <v>160</v>
      </c>
      <c r="M137" s="16" t="s">
        <v>24</v>
      </c>
      <c r="N137" s="16">
        <v>0</v>
      </c>
      <c r="O137" s="16">
        <v>0</v>
      </c>
      <c r="P137" s="16">
        <v>0</v>
      </c>
      <c r="Q137" s="16">
        <f t="shared" si="10"/>
        <v>0</v>
      </c>
      <c r="R137" s="16">
        <f t="shared" si="11"/>
        <v>0</v>
      </c>
      <c r="S137" s="16">
        <f t="shared" si="12"/>
        <v>0</v>
      </c>
      <c r="T137" s="30">
        <f t="shared" si="13"/>
        <v>80000</v>
      </c>
      <c r="U137" s="30">
        <f t="shared" si="14"/>
        <v>0</v>
      </c>
    </row>
    <row r="138" spans="1:21" s="16" customFormat="1" ht="20" customHeight="1" x14ac:dyDescent="0.35">
      <c r="A138" s="16" t="s">
        <v>232</v>
      </c>
      <c r="B138" s="28">
        <v>46081</v>
      </c>
      <c r="C138" s="16" t="s">
        <v>42</v>
      </c>
      <c r="D138" s="16" t="s">
        <v>183</v>
      </c>
      <c r="E138" s="29">
        <v>46054</v>
      </c>
      <c r="F138" s="16" t="s">
        <v>65</v>
      </c>
      <c r="G138" s="16" t="s">
        <v>102</v>
      </c>
      <c r="H138" s="16">
        <v>38.5</v>
      </c>
      <c r="I138" s="16" t="s">
        <v>84</v>
      </c>
      <c r="J138" s="16" t="s">
        <v>99</v>
      </c>
      <c r="K138" s="16" t="s">
        <v>521</v>
      </c>
      <c r="L138" s="16" t="s">
        <v>160</v>
      </c>
      <c r="M138" s="16" t="s">
        <v>24</v>
      </c>
      <c r="N138" s="16">
        <v>0</v>
      </c>
      <c r="O138" s="16">
        <v>0</v>
      </c>
      <c r="P138" s="16">
        <v>0</v>
      </c>
      <c r="Q138" s="16">
        <f t="shared" si="10"/>
        <v>0</v>
      </c>
      <c r="R138" s="16">
        <f t="shared" si="11"/>
        <v>0</v>
      </c>
      <c r="S138" s="16">
        <f t="shared" si="12"/>
        <v>0</v>
      </c>
      <c r="T138" s="30">
        <f t="shared" si="13"/>
        <v>0</v>
      </c>
      <c r="U138" s="30">
        <f t="shared" si="14"/>
        <v>0</v>
      </c>
    </row>
    <row r="139" spans="1:21" s="16" customFormat="1" ht="20" customHeight="1" x14ac:dyDescent="0.35">
      <c r="A139" s="16" t="s">
        <v>233</v>
      </c>
      <c r="B139" s="28">
        <v>46081</v>
      </c>
      <c r="C139" s="16" t="s">
        <v>42</v>
      </c>
      <c r="D139" s="16" t="s">
        <v>183</v>
      </c>
      <c r="E139" s="29">
        <v>46054</v>
      </c>
      <c r="F139" s="16" t="s">
        <v>65</v>
      </c>
      <c r="G139" s="16" t="s">
        <v>105</v>
      </c>
      <c r="H139" s="16">
        <v>22</v>
      </c>
      <c r="I139" s="16" t="s">
        <v>106</v>
      </c>
      <c r="J139" s="16" t="s">
        <v>99</v>
      </c>
      <c r="K139" s="16" t="s">
        <v>521</v>
      </c>
      <c r="L139" s="16" t="s">
        <v>160</v>
      </c>
      <c r="M139" s="16" t="s">
        <v>24</v>
      </c>
      <c r="N139" s="16">
        <v>0</v>
      </c>
      <c r="O139" s="16">
        <v>0</v>
      </c>
      <c r="P139" s="16">
        <v>0</v>
      </c>
      <c r="Q139" s="16">
        <f t="shared" si="10"/>
        <v>0</v>
      </c>
      <c r="R139" s="16">
        <f t="shared" si="11"/>
        <v>0</v>
      </c>
      <c r="S139" s="16">
        <f t="shared" si="12"/>
        <v>0</v>
      </c>
      <c r="T139" s="30">
        <f t="shared" si="13"/>
        <v>0</v>
      </c>
      <c r="U139" s="30">
        <f t="shared" si="14"/>
        <v>22000</v>
      </c>
    </row>
    <row r="140" spans="1:21" s="16" customFormat="1" ht="20" customHeight="1" x14ac:dyDescent="0.35">
      <c r="A140" s="16" t="s">
        <v>234</v>
      </c>
      <c r="B140" s="28">
        <v>46081</v>
      </c>
      <c r="C140" s="16" t="s">
        <v>42</v>
      </c>
      <c r="D140" s="16" t="s">
        <v>183</v>
      </c>
      <c r="E140" s="29">
        <v>46054</v>
      </c>
      <c r="F140" s="16" t="s">
        <v>26</v>
      </c>
      <c r="G140" s="16" t="s">
        <v>27</v>
      </c>
      <c r="H140" s="16">
        <v>18000</v>
      </c>
      <c r="I140" s="16" t="s">
        <v>28</v>
      </c>
      <c r="J140" s="16" t="s">
        <v>29</v>
      </c>
      <c r="K140" s="16" t="s">
        <v>521</v>
      </c>
      <c r="L140" s="16" t="s">
        <v>168</v>
      </c>
      <c r="M140" s="16" t="s">
        <v>24</v>
      </c>
      <c r="N140" s="16">
        <v>18000</v>
      </c>
      <c r="O140" s="16">
        <v>0</v>
      </c>
      <c r="P140" s="16">
        <v>0</v>
      </c>
      <c r="Q140" s="16">
        <f t="shared" si="10"/>
        <v>0</v>
      </c>
      <c r="R140" s="16">
        <f t="shared" si="11"/>
        <v>0</v>
      </c>
      <c r="S140" s="16">
        <f t="shared" si="12"/>
        <v>0</v>
      </c>
      <c r="T140" s="30">
        <f t="shared" si="13"/>
        <v>0</v>
      </c>
      <c r="U140" s="30">
        <f t="shared" si="14"/>
        <v>0</v>
      </c>
    </row>
    <row r="141" spans="1:21" s="16" customFormat="1" ht="20" customHeight="1" x14ac:dyDescent="0.35">
      <c r="A141" s="16" t="s">
        <v>235</v>
      </c>
      <c r="B141" s="28">
        <v>46081</v>
      </c>
      <c r="C141" s="16" t="s">
        <v>42</v>
      </c>
      <c r="D141" s="16" t="s">
        <v>183</v>
      </c>
      <c r="E141" s="29">
        <v>46054</v>
      </c>
      <c r="F141" s="16" t="s">
        <v>112</v>
      </c>
      <c r="G141" s="16" t="s">
        <v>113</v>
      </c>
      <c r="H141" s="16">
        <v>7</v>
      </c>
      <c r="I141" s="16" t="s">
        <v>114</v>
      </c>
      <c r="J141" s="16" t="s">
        <v>115</v>
      </c>
      <c r="K141" s="16" t="s">
        <v>521</v>
      </c>
      <c r="L141" s="16" t="s">
        <v>116</v>
      </c>
      <c r="M141" s="16" t="s">
        <v>24</v>
      </c>
      <c r="N141" s="16">
        <v>0</v>
      </c>
      <c r="O141" s="16">
        <v>7</v>
      </c>
      <c r="P141" s="16">
        <v>0</v>
      </c>
      <c r="Q141" s="16">
        <f t="shared" si="10"/>
        <v>0</v>
      </c>
      <c r="R141" s="16">
        <f t="shared" si="11"/>
        <v>0</v>
      </c>
      <c r="S141" s="16">
        <f t="shared" si="12"/>
        <v>0</v>
      </c>
      <c r="T141" s="30">
        <f t="shared" si="13"/>
        <v>0</v>
      </c>
      <c r="U141" s="30">
        <f t="shared" si="14"/>
        <v>0</v>
      </c>
    </row>
    <row r="142" spans="1:21" s="16" customFormat="1" ht="20" customHeight="1" x14ac:dyDescent="0.35">
      <c r="A142" s="16" t="s">
        <v>236</v>
      </c>
      <c r="B142" s="28">
        <v>46081</v>
      </c>
      <c r="C142" s="16" t="s">
        <v>42</v>
      </c>
      <c r="D142" s="16" t="s">
        <v>183</v>
      </c>
      <c r="E142" s="29">
        <v>46054</v>
      </c>
      <c r="F142" s="16" t="s">
        <v>112</v>
      </c>
      <c r="G142" s="16" t="s">
        <v>118</v>
      </c>
      <c r="H142" s="16">
        <v>5</v>
      </c>
      <c r="I142" s="16" t="s">
        <v>114</v>
      </c>
      <c r="J142" s="16" t="s">
        <v>115</v>
      </c>
      <c r="K142" s="16" t="s">
        <v>521</v>
      </c>
      <c r="L142" s="16" t="s">
        <v>119</v>
      </c>
      <c r="M142" s="16" t="s">
        <v>24</v>
      </c>
      <c r="N142" s="16">
        <v>0</v>
      </c>
      <c r="O142" s="16">
        <v>0</v>
      </c>
      <c r="P142" s="16">
        <v>5</v>
      </c>
      <c r="Q142" s="16">
        <f t="shared" si="10"/>
        <v>0</v>
      </c>
      <c r="R142" s="16">
        <f t="shared" si="11"/>
        <v>0</v>
      </c>
      <c r="S142" s="16">
        <f t="shared" si="12"/>
        <v>0</v>
      </c>
      <c r="T142" s="30">
        <f t="shared" si="13"/>
        <v>0</v>
      </c>
      <c r="U142" s="30">
        <f t="shared" si="14"/>
        <v>0</v>
      </c>
    </row>
    <row r="143" spans="1:21" s="16" customFormat="1" ht="20" customHeight="1" x14ac:dyDescent="0.35">
      <c r="A143" s="16" t="s">
        <v>237</v>
      </c>
      <c r="B143" s="28">
        <v>46082</v>
      </c>
      <c r="C143" s="16" t="s">
        <v>45</v>
      </c>
      <c r="D143" s="16" t="s">
        <v>183</v>
      </c>
      <c r="E143" s="29">
        <v>46082</v>
      </c>
      <c r="F143" s="16" t="s">
        <v>19</v>
      </c>
      <c r="G143" s="16" t="s">
        <v>60</v>
      </c>
      <c r="H143" s="16">
        <v>13</v>
      </c>
      <c r="I143" s="16" t="s">
        <v>21</v>
      </c>
      <c r="J143" s="16" t="s">
        <v>22</v>
      </c>
      <c r="K143" s="16" t="s">
        <v>521</v>
      </c>
      <c r="L143" s="16" t="s">
        <v>61</v>
      </c>
      <c r="M143" s="16" t="s">
        <v>24</v>
      </c>
      <c r="N143" s="16">
        <v>0</v>
      </c>
      <c r="O143" s="16">
        <v>0</v>
      </c>
      <c r="P143" s="16">
        <v>0</v>
      </c>
      <c r="Q143" s="16">
        <f t="shared" si="10"/>
        <v>0</v>
      </c>
      <c r="R143" s="16">
        <f t="shared" si="11"/>
        <v>10400</v>
      </c>
      <c r="S143" s="16">
        <f t="shared" si="12"/>
        <v>0</v>
      </c>
      <c r="T143" s="30">
        <f t="shared" si="13"/>
        <v>0</v>
      </c>
      <c r="U143" s="30">
        <f t="shared" si="14"/>
        <v>0</v>
      </c>
    </row>
    <row r="144" spans="1:21" s="16" customFormat="1" ht="20" customHeight="1" x14ac:dyDescent="0.35">
      <c r="A144" s="16" t="s">
        <v>238</v>
      </c>
      <c r="B144" s="28">
        <v>46082</v>
      </c>
      <c r="C144" s="16" t="s">
        <v>45</v>
      </c>
      <c r="D144" s="16" t="s">
        <v>183</v>
      </c>
      <c r="E144" s="29">
        <v>46082</v>
      </c>
      <c r="F144" s="16" t="s">
        <v>65</v>
      </c>
      <c r="G144" s="16" t="s">
        <v>139</v>
      </c>
      <c r="H144" s="16">
        <v>34</v>
      </c>
      <c r="I144" s="16" t="s">
        <v>21</v>
      </c>
      <c r="J144" s="16" t="s">
        <v>99</v>
      </c>
      <c r="K144" s="16" t="s">
        <v>521</v>
      </c>
      <c r="L144" s="16" t="s">
        <v>160</v>
      </c>
      <c r="M144" s="16" t="s">
        <v>24</v>
      </c>
      <c r="N144" s="16">
        <v>0</v>
      </c>
      <c r="O144" s="16">
        <v>0</v>
      </c>
      <c r="P144" s="16">
        <v>0</v>
      </c>
      <c r="Q144" s="16">
        <f t="shared" si="10"/>
        <v>0</v>
      </c>
      <c r="R144" s="16">
        <f t="shared" si="11"/>
        <v>0</v>
      </c>
      <c r="S144" s="16">
        <f t="shared" si="12"/>
        <v>0</v>
      </c>
      <c r="T144" s="30">
        <f t="shared" si="13"/>
        <v>34000</v>
      </c>
      <c r="U144" s="30">
        <f t="shared" si="14"/>
        <v>0</v>
      </c>
    </row>
    <row r="145" spans="1:21" s="16" customFormat="1" ht="20" customHeight="1" x14ac:dyDescent="0.35">
      <c r="A145" s="16" t="s">
        <v>239</v>
      </c>
      <c r="B145" s="28">
        <v>46082</v>
      </c>
      <c r="C145" s="16" t="s">
        <v>45</v>
      </c>
      <c r="D145" s="16" t="s">
        <v>183</v>
      </c>
      <c r="E145" s="29">
        <v>46082</v>
      </c>
      <c r="F145" s="16" t="s">
        <v>65</v>
      </c>
      <c r="G145" s="16" t="s">
        <v>102</v>
      </c>
      <c r="H145" s="16">
        <v>13.5</v>
      </c>
      <c r="I145" s="16" t="s">
        <v>84</v>
      </c>
      <c r="J145" s="16" t="s">
        <v>99</v>
      </c>
      <c r="K145" s="16" t="s">
        <v>521</v>
      </c>
      <c r="L145" s="16" t="s">
        <v>160</v>
      </c>
      <c r="M145" s="16" t="s">
        <v>24</v>
      </c>
      <c r="N145" s="16">
        <v>0</v>
      </c>
      <c r="O145" s="16">
        <v>0</v>
      </c>
      <c r="P145" s="16">
        <v>0</v>
      </c>
      <c r="Q145" s="16">
        <f t="shared" si="10"/>
        <v>0</v>
      </c>
      <c r="R145" s="16">
        <f t="shared" si="11"/>
        <v>0</v>
      </c>
      <c r="S145" s="16">
        <f t="shared" si="12"/>
        <v>0</v>
      </c>
      <c r="T145" s="30">
        <f t="shared" si="13"/>
        <v>0</v>
      </c>
      <c r="U145" s="30">
        <f t="shared" si="14"/>
        <v>0</v>
      </c>
    </row>
    <row r="146" spans="1:21" s="16" customFormat="1" ht="20" customHeight="1" x14ac:dyDescent="0.35">
      <c r="A146" s="16" t="s">
        <v>240</v>
      </c>
      <c r="B146" s="28">
        <v>46082</v>
      </c>
      <c r="C146" s="16" t="s">
        <v>45</v>
      </c>
      <c r="D146" s="16" t="s">
        <v>183</v>
      </c>
      <c r="E146" s="29">
        <v>46082</v>
      </c>
      <c r="F146" s="16" t="s">
        <v>65</v>
      </c>
      <c r="G146" s="16" t="s">
        <v>105</v>
      </c>
      <c r="H146" s="16">
        <v>10</v>
      </c>
      <c r="I146" s="16" t="s">
        <v>106</v>
      </c>
      <c r="J146" s="16" t="s">
        <v>99</v>
      </c>
      <c r="K146" s="16" t="s">
        <v>521</v>
      </c>
      <c r="L146" s="16" t="s">
        <v>160</v>
      </c>
      <c r="M146" s="16" t="s">
        <v>24</v>
      </c>
      <c r="N146" s="16">
        <v>0</v>
      </c>
      <c r="O146" s="16">
        <v>0</v>
      </c>
      <c r="P146" s="16">
        <v>0</v>
      </c>
      <c r="Q146" s="16">
        <f t="shared" si="10"/>
        <v>0</v>
      </c>
      <c r="R146" s="16">
        <f t="shared" si="11"/>
        <v>0</v>
      </c>
      <c r="S146" s="16">
        <f t="shared" si="12"/>
        <v>0</v>
      </c>
      <c r="T146" s="30">
        <f t="shared" si="13"/>
        <v>0</v>
      </c>
      <c r="U146" s="30">
        <f t="shared" si="14"/>
        <v>10000</v>
      </c>
    </row>
    <row r="147" spans="1:21" s="16" customFormat="1" ht="20" customHeight="1" x14ac:dyDescent="0.35">
      <c r="A147" s="16" t="s">
        <v>241</v>
      </c>
      <c r="B147" s="28">
        <v>46082</v>
      </c>
      <c r="C147" s="16" t="s">
        <v>45</v>
      </c>
      <c r="D147" s="16" t="s">
        <v>183</v>
      </c>
      <c r="E147" s="29">
        <v>46082</v>
      </c>
      <c r="F147" s="16" t="s">
        <v>26</v>
      </c>
      <c r="G147" s="16" t="s">
        <v>27</v>
      </c>
      <c r="H147" s="16">
        <v>10000</v>
      </c>
      <c r="I147" s="16" t="s">
        <v>28</v>
      </c>
      <c r="J147" s="16" t="s">
        <v>29</v>
      </c>
      <c r="K147" s="16" t="s">
        <v>521</v>
      </c>
      <c r="L147" s="16" t="s">
        <v>168</v>
      </c>
      <c r="M147" s="16" t="s">
        <v>24</v>
      </c>
      <c r="N147" s="16">
        <v>10000</v>
      </c>
      <c r="O147" s="16">
        <v>0</v>
      </c>
      <c r="P147" s="16">
        <v>0</v>
      </c>
      <c r="Q147" s="16">
        <f t="shared" si="10"/>
        <v>0</v>
      </c>
      <c r="R147" s="16">
        <f t="shared" si="11"/>
        <v>0</v>
      </c>
      <c r="S147" s="16">
        <f t="shared" si="12"/>
        <v>0</v>
      </c>
      <c r="T147" s="30">
        <f t="shared" si="13"/>
        <v>0</v>
      </c>
      <c r="U147" s="30">
        <f t="shared" si="14"/>
        <v>0</v>
      </c>
    </row>
    <row r="148" spans="1:21" s="16" customFormat="1" ht="20" customHeight="1" x14ac:dyDescent="0.35">
      <c r="A148" s="16" t="s">
        <v>243</v>
      </c>
      <c r="B148" s="28">
        <v>46082</v>
      </c>
      <c r="C148" s="16" t="s">
        <v>45</v>
      </c>
      <c r="D148" s="16" t="s">
        <v>183</v>
      </c>
      <c r="E148" s="29">
        <v>46082</v>
      </c>
      <c r="F148" s="16" t="s">
        <v>112</v>
      </c>
      <c r="G148" s="16" t="s">
        <v>113</v>
      </c>
      <c r="H148" s="16">
        <v>5</v>
      </c>
      <c r="I148" s="16" t="s">
        <v>114</v>
      </c>
      <c r="J148" s="16" t="s">
        <v>115</v>
      </c>
      <c r="K148" s="16" t="s">
        <v>521</v>
      </c>
      <c r="L148" s="16" t="s">
        <v>116</v>
      </c>
      <c r="M148" s="16" t="s">
        <v>24</v>
      </c>
      <c r="N148" s="16">
        <v>0</v>
      </c>
      <c r="O148" s="16">
        <v>5</v>
      </c>
      <c r="P148" s="16">
        <v>0</v>
      </c>
      <c r="Q148" s="16">
        <f t="shared" si="10"/>
        <v>0</v>
      </c>
      <c r="R148" s="16">
        <f t="shared" si="11"/>
        <v>0</v>
      </c>
      <c r="S148" s="16">
        <f t="shared" si="12"/>
        <v>0</v>
      </c>
      <c r="T148" s="30">
        <f t="shared" si="13"/>
        <v>0</v>
      </c>
      <c r="U148" s="30">
        <f t="shared" si="14"/>
        <v>0</v>
      </c>
    </row>
    <row r="149" spans="1:21" s="16" customFormat="1" ht="20" customHeight="1" x14ac:dyDescent="0.35">
      <c r="A149" s="16" t="s">
        <v>244</v>
      </c>
      <c r="B149" s="28">
        <v>46082</v>
      </c>
      <c r="C149" s="16" t="s">
        <v>45</v>
      </c>
      <c r="D149" s="16" t="s">
        <v>183</v>
      </c>
      <c r="E149" s="29">
        <v>46082</v>
      </c>
      <c r="F149" s="16" t="s">
        <v>112</v>
      </c>
      <c r="G149" s="16" t="s">
        <v>118</v>
      </c>
      <c r="H149" s="16">
        <v>3</v>
      </c>
      <c r="I149" s="16" t="s">
        <v>114</v>
      </c>
      <c r="J149" s="16" t="s">
        <v>115</v>
      </c>
      <c r="K149" s="16" t="s">
        <v>521</v>
      </c>
      <c r="L149" s="16" t="s">
        <v>119</v>
      </c>
      <c r="M149" s="16" t="s">
        <v>24</v>
      </c>
      <c r="N149" s="16">
        <v>0</v>
      </c>
      <c r="O149" s="16">
        <v>0</v>
      </c>
      <c r="P149" s="16">
        <v>3</v>
      </c>
      <c r="Q149" s="16">
        <f t="shared" si="10"/>
        <v>0</v>
      </c>
      <c r="R149" s="16">
        <f t="shared" si="11"/>
        <v>0</v>
      </c>
      <c r="S149" s="16">
        <f t="shared" si="12"/>
        <v>0</v>
      </c>
      <c r="T149" s="30">
        <f t="shared" si="13"/>
        <v>0</v>
      </c>
      <c r="U149" s="30">
        <f t="shared" si="14"/>
        <v>0</v>
      </c>
    </row>
    <row r="150" spans="1:21" s="16" customFormat="1" ht="20" customHeight="1" x14ac:dyDescent="0.35">
      <c r="A150" s="16" t="s">
        <v>245</v>
      </c>
      <c r="B150" s="28">
        <v>46083</v>
      </c>
      <c r="C150" s="16" t="s">
        <v>50</v>
      </c>
      <c r="D150" s="16" t="s">
        <v>242</v>
      </c>
      <c r="E150" s="29">
        <v>46082</v>
      </c>
      <c r="F150" s="16" t="s">
        <v>19</v>
      </c>
      <c r="G150" s="16" t="s">
        <v>60</v>
      </c>
      <c r="H150" s="16">
        <v>50</v>
      </c>
      <c r="I150" s="16" t="s">
        <v>21</v>
      </c>
      <c r="J150" s="16" t="s">
        <v>22</v>
      </c>
      <c r="K150" s="16" t="s">
        <v>521</v>
      </c>
      <c r="L150" s="16" t="s">
        <v>61</v>
      </c>
      <c r="M150" s="16" t="s">
        <v>24</v>
      </c>
      <c r="N150" s="16">
        <v>0</v>
      </c>
      <c r="O150" s="16">
        <v>0</v>
      </c>
      <c r="P150" s="16">
        <v>0</v>
      </c>
      <c r="Q150" s="16">
        <f t="shared" si="10"/>
        <v>0</v>
      </c>
      <c r="R150" s="16">
        <f t="shared" si="11"/>
        <v>40000</v>
      </c>
      <c r="S150" s="16">
        <f t="shared" si="12"/>
        <v>0</v>
      </c>
      <c r="T150" s="30">
        <f t="shared" si="13"/>
        <v>0</v>
      </c>
      <c r="U150" s="30">
        <f t="shared" si="14"/>
        <v>0</v>
      </c>
    </row>
    <row r="151" spans="1:21" s="16" customFormat="1" ht="20" customHeight="1" x14ac:dyDescent="0.35">
      <c r="A151" s="16" t="s">
        <v>246</v>
      </c>
      <c r="B151" s="28">
        <v>46083</v>
      </c>
      <c r="C151" s="16" t="s">
        <v>50</v>
      </c>
      <c r="D151" s="16" t="s">
        <v>242</v>
      </c>
      <c r="E151" s="29">
        <v>46082</v>
      </c>
      <c r="F151" s="16" t="s">
        <v>65</v>
      </c>
      <c r="G151" s="16" t="s">
        <v>139</v>
      </c>
      <c r="H151" s="16">
        <v>41</v>
      </c>
      <c r="I151" s="16" t="s">
        <v>21</v>
      </c>
      <c r="J151" s="16" t="s">
        <v>99</v>
      </c>
      <c r="K151" s="16" t="s">
        <v>521</v>
      </c>
      <c r="L151" s="16" t="s">
        <v>160</v>
      </c>
      <c r="M151" s="16" t="s">
        <v>24</v>
      </c>
      <c r="N151" s="16">
        <v>0</v>
      </c>
      <c r="O151" s="16">
        <v>0</v>
      </c>
      <c r="P151" s="16">
        <v>0</v>
      </c>
      <c r="Q151" s="16">
        <f t="shared" si="10"/>
        <v>0</v>
      </c>
      <c r="R151" s="16">
        <f t="shared" si="11"/>
        <v>0</v>
      </c>
      <c r="S151" s="16">
        <f t="shared" si="12"/>
        <v>0</v>
      </c>
      <c r="T151" s="30">
        <f t="shared" si="13"/>
        <v>41000</v>
      </c>
      <c r="U151" s="30">
        <f t="shared" si="14"/>
        <v>0</v>
      </c>
    </row>
    <row r="152" spans="1:21" s="16" customFormat="1" ht="20" customHeight="1" x14ac:dyDescent="0.35">
      <c r="A152" s="16" t="s">
        <v>247</v>
      </c>
      <c r="B152" s="28">
        <v>46083</v>
      </c>
      <c r="C152" s="16" t="s">
        <v>50</v>
      </c>
      <c r="D152" s="16" t="s">
        <v>242</v>
      </c>
      <c r="E152" s="29">
        <v>46082</v>
      </c>
      <c r="F152" s="16" t="s">
        <v>65</v>
      </c>
      <c r="G152" s="16" t="s">
        <v>102</v>
      </c>
      <c r="H152" s="16">
        <v>26</v>
      </c>
      <c r="I152" s="16" t="s">
        <v>84</v>
      </c>
      <c r="J152" s="16" t="s">
        <v>99</v>
      </c>
      <c r="K152" s="16" t="s">
        <v>521</v>
      </c>
      <c r="L152" s="16" t="s">
        <v>160</v>
      </c>
      <c r="M152" s="16" t="s">
        <v>24</v>
      </c>
      <c r="N152" s="16">
        <v>0</v>
      </c>
      <c r="O152" s="16">
        <v>0</v>
      </c>
      <c r="P152" s="16">
        <v>0</v>
      </c>
      <c r="Q152" s="16">
        <f t="shared" si="10"/>
        <v>0</v>
      </c>
      <c r="R152" s="16">
        <f t="shared" si="11"/>
        <v>0</v>
      </c>
      <c r="S152" s="16">
        <f t="shared" si="12"/>
        <v>0</v>
      </c>
      <c r="T152" s="30">
        <f t="shared" si="13"/>
        <v>0</v>
      </c>
      <c r="U152" s="30">
        <f t="shared" si="14"/>
        <v>0</v>
      </c>
    </row>
    <row r="153" spans="1:21" s="16" customFormat="1" ht="20" customHeight="1" x14ac:dyDescent="0.35">
      <c r="A153" s="16" t="s">
        <v>249</v>
      </c>
      <c r="B153" s="28">
        <v>46083</v>
      </c>
      <c r="C153" s="16" t="s">
        <v>50</v>
      </c>
      <c r="D153" s="16" t="s">
        <v>242</v>
      </c>
      <c r="E153" s="29">
        <v>46082</v>
      </c>
      <c r="F153" s="16" t="s">
        <v>65</v>
      </c>
      <c r="G153" s="16" t="s">
        <v>105</v>
      </c>
      <c r="H153" s="16">
        <v>19</v>
      </c>
      <c r="I153" s="16" t="s">
        <v>106</v>
      </c>
      <c r="J153" s="16" t="s">
        <v>99</v>
      </c>
      <c r="K153" s="16" t="s">
        <v>521</v>
      </c>
      <c r="L153" s="16" t="s">
        <v>160</v>
      </c>
      <c r="M153" s="16" t="s">
        <v>24</v>
      </c>
      <c r="N153" s="16">
        <v>0</v>
      </c>
      <c r="O153" s="16">
        <v>0</v>
      </c>
      <c r="P153" s="16">
        <v>0</v>
      </c>
      <c r="Q153" s="16">
        <f t="shared" si="10"/>
        <v>0</v>
      </c>
      <c r="R153" s="16">
        <f t="shared" si="11"/>
        <v>0</v>
      </c>
      <c r="S153" s="16">
        <f t="shared" si="12"/>
        <v>0</v>
      </c>
      <c r="T153" s="30">
        <f t="shared" si="13"/>
        <v>0</v>
      </c>
      <c r="U153" s="30">
        <f t="shared" si="14"/>
        <v>19000</v>
      </c>
    </row>
    <row r="154" spans="1:21" s="16" customFormat="1" ht="20" customHeight="1" x14ac:dyDescent="0.35">
      <c r="A154" s="16" t="s">
        <v>250</v>
      </c>
      <c r="B154" s="28">
        <v>46083</v>
      </c>
      <c r="C154" s="16" t="s">
        <v>50</v>
      </c>
      <c r="D154" s="16" t="s">
        <v>242</v>
      </c>
      <c r="E154" s="29">
        <v>46082</v>
      </c>
      <c r="F154" s="16" t="s">
        <v>65</v>
      </c>
      <c r="G154" s="16" t="s">
        <v>164</v>
      </c>
      <c r="H154" s="16">
        <v>1</v>
      </c>
      <c r="I154" s="16" t="s">
        <v>154</v>
      </c>
      <c r="J154" s="16" t="s">
        <v>99</v>
      </c>
      <c r="K154" s="16" t="s">
        <v>521</v>
      </c>
      <c r="L154" s="16" t="s">
        <v>177</v>
      </c>
      <c r="M154" s="16" t="s">
        <v>24</v>
      </c>
      <c r="N154" s="16">
        <v>0</v>
      </c>
      <c r="O154" s="16">
        <v>0</v>
      </c>
      <c r="P154" s="16">
        <v>0</v>
      </c>
      <c r="Q154" s="16">
        <f t="shared" si="10"/>
        <v>0</v>
      </c>
      <c r="R154" s="16">
        <f t="shared" si="11"/>
        <v>0</v>
      </c>
      <c r="S154" s="16">
        <f t="shared" si="12"/>
        <v>0</v>
      </c>
      <c r="T154" s="30">
        <f t="shared" si="13"/>
        <v>0</v>
      </c>
      <c r="U154" s="30">
        <f t="shared" si="14"/>
        <v>0</v>
      </c>
    </row>
    <row r="155" spans="1:21" s="16" customFormat="1" ht="20" customHeight="1" x14ac:dyDescent="0.35">
      <c r="A155" s="16" t="s">
        <v>251</v>
      </c>
      <c r="B155" s="28">
        <v>46083</v>
      </c>
      <c r="C155" s="16" t="s">
        <v>50</v>
      </c>
      <c r="D155" s="16" t="s">
        <v>242</v>
      </c>
      <c r="E155" s="29">
        <v>46082</v>
      </c>
      <c r="F155" s="16" t="s">
        <v>65</v>
      </c>
      <c r="G155" s="16" t="s">
        <v>153</v>
      </c>
      <c r="H155" s="16">
        <v>1</v>
      </c>
      <c r="I155" s="16" t="s">
        <v>154</v>
      </c>
      <c r="J155" s="16" t="s">
        <v>99</v>
      </c>
      <c r="K155" s="16" t="s">
        <v>521</v>
      </c>
      <c r="L155" s="16" t="s">
        <v>248</v>
      </c>
      <c r="M155" s="16" t="s">
        <v>24</v>
      </c>
      <c r="N155" s="16">
        <v>0</v>
      </c>
      <c r="O155" s="16">
        <v>0</v>
      </c>
      <c r="P155" s="16">
        <v>0</v>
      </c>
      <c r="Q155" s="16">
        <f t="shared" si="10"/>
        <v>0</v>
      </c>
      <c r="R155" s="16">
        <f t="shared" si="11"/>
        <v>0</v>
      </c>
      <c r="S155" s="16">
        <f t="shared" si="12"/>
        <v>0</v>
      </c>
      <c r="T155" s="30">
        <f t="shared" si="13"/>
        <v>0</v>
      </c>
      <c r="U155" s="30">
        <f t="shared" si="14"/>
        <v>0</v>
      </c>
    </row>
    <row r="156" spans="1:21" s="16" customFormat="1" ht="20" customHeight="1" x14ac:dyDescent="0.35">
      <c r="A156" s="16" t="s">
        <v>252</v>
      </c>
      <c r="B156" s="28">
        <v>46083</v>
      </c>
      <c r="C156" s="16" t="s">
        <v>50</v>
      </c>
      <c r="D156" s="16" t="s">
        <v>242</v>
      </c>
      <c r="E156" s="29">
        <v>46082</v>
      </c>
      <c r="F156" s="16" t="s">
        <v>26</v>
      </c>
      <c r="G156" s="16" t="s">
        <v>27</v>
      </c>
      <c r="H156" s="16">
        <v>14000</v>
      </c>
      <c r="I156" s="16" t="s">
        <v>28</v>
      </c>
      <c r="J156" s="16" t="s">
        <v>29</v>
      </c>
      <c r="K156" s="16" t="s">
        <v>521</v>
      </c>
      <c r="L156" s="16" t="s">
        <v>168</v>
      </c>
      <c r="M156" s="16" t="s">
        <v>24</v>
      </c>
      <c r="N156" s="16">
        <v>14000</v>
      </c>
      <c r="O156" s="16">
        <v>0</v>
      </c>
      <c r="P156" s="16">
        <v>0</v>
      </c>
      <c r="Q156" s="16">
        <f t="shared" si="10"/>
        <v>0</v>
      </c>
      <c r="R156" s="16">
        <f t="shared" si="11"/>
        <v>0</v>
      </c>
      <c r="S156" s="16">
        <f t="shared" si="12"/>
        <v>0</v>
      </c>
      <c r="T156" s="30">
        <f t="shared" si="13"/>
        <v>0</v>
      </c>
      <c r="U156" s="30">
        <f t="shared" si="14"/>
        <v>0</v>
      </c>
    </row>
    <row r="157" spans="1:21" s="16" customFormat="1" ht="20" customHeight="1" x14ac:dyDescent="0.35">
      <c r="A157" s="16" t="s">
        <v>253</v>
      </c>
      <c r="B157" s="28">
        <v>46083</v>
      </c>
      <c r="C157" s="16" t="s">
        <v>50</v>
      </c>
      <c r="D157" s="16" t="s">
        <v>242</v>
      </c>
      <c r="E157" s="29">
        <v>46082</v>
      </c>
      <c r="F157" s="16" t="s">
        <v>112</v>
      </c>
      <c r="G157" s="16" t="s">
        <v>113</v>
      </c>
      <c r="H157" s="16">
        <v>6</v>
      </c>
      <c r="I157" s="16" t="s">
        <v>114</v>
      </c>
      <c r="J157" s="16" t="s">
        <v>115</v>
      </c>
      <c r="K157" s="16" t="s">
        <v>521</v>
      </c>
      <c r="L157" s="16" t="s">
        <v>116</v>
      </c>
      <c r="M157" s="16" t="s">
        <v>24</v>
      </c>
      <c r="N157" s="16">
        <v>0</v>
      </c>
      <c r="O157" s="16">
        <v>6</v>
      </c>
      <c r="P157" s="16">
        <v>0</v>
      </c>
      <c r="Q157" s="16">
        <f t="shared" si="10"/>
        <v>0</v>
      </c>
      <c r="R157" s="16">
        <f t="shared" si="11"/>
        <v>0</v>
      </c>
      <c r="S157" s="16">
        <f t="shared" si="12"/>
        <v>0</v>
      </c>
      <c r="T157" s="30">
        <f t="shared" si="13"/>
        <v>0</v>
      </c>
      <c r="U157" s="30">
        <f t="shared" si="14"/>
        <v>0</v>
      </c>
    </row>
    <row r="158" spans="1:21" s="16" customFormat="1" ht="20" customHeight="1" x14ac:dyDescent="0.35">
      <c r="A158" s="16" t="s">
        <v>255</v>
      </c>
      <c r="B158" s="28">
        <v>46083</v>
      </c>
      <c r="C158" s="16" t="s">
        <v>50</v>
      </c>
      <c r="D158" s="16" t="s">
        <v>242</v>
      </c>
      <c r="E158" s="29">
        <v>46082</v>
      </c>
      <c r="F158" s="16" t="s">
        <v>112</v>
      </c>
      <c r="G158" s="16" t="s">
        <v>118</v>
      </c>
      <c r="H158" s="16">
        <v>4</v>
      </c>
      <c r="I158" s="16" t="s">
        <v>114</v>
      </c>
      <c r="J158" s="16" t="s">
        <v>115</v>
      </c>
      <c r="K158" s="16" t="s">
        <v>521</v>
      </c>
      <c r="L158" s="16" t="s">
        <v>119</v>
      </c>
      <c r="M158" s="16" t="s">
        <v>24</v>
      </c>
      <c r="N158" s="16">
        <v>0</v>
      </c>
      <c r="O158" s="16">
        <v>0</v>
      </c>
      <c r="P158" s="16">
        <v>4</v>
      </c>
      <c r="Q158" s="16">
        <f t="shared" si="10"/>
        <v>0</v>
      </c>
      <c r="R158" s="16">
        <f t="shared" si="11"/>
        <v>0</v>
      </c>
      <c r="S158" s="16">
        <f t="shared" si="12"/>
        <v>0</v>
      </c>
      <c r="T158" s="30">
        <f t="shared" si="13"/>
        <v>0</v>
      </c>
      <c r="U158" s="30">
        <f t="shared" si="14"/>
        <v>0</v>
      </c>
    </row>
    <row r="159" spans="1:21" s="16" customFormat="1" ht="20" customHeight="1" x14ac:dyDescent="0.35">
      <c r="A159" s="16" t="s">
        <v>256</v>
      </c>
      <c r="B159" s="28">
        <v>46084</v>
      </c>
      <c r="C159" s="16" t="s">
        <v>17</v>
      </c>
      <c r="D159" s="16" t="s">
        <v>242</v>
      </c>
      <c r="E159" s="29">
        <v>46082</v>
      </c>
      <c r="F159" s="16" t="s">
        <v>19</v>
      </c>
      <c r="G159" s="16" t="s">
        <v>60</v>
      </c>
      <c r="H159" s="16">
        <v>40</v>
      </c>
      <c r="I159" s="16" t="s">
        <v>21</v>
      </c>
      <c r="J159" s="16" t="s">
        <v>22</v>
      </c>
      <c r="K159" s="16" t="s">
        <v>521</v>
      </c>
      <c r="L159" s="16" t="s">
        <v>61</v>
      </c>
      <c r="M159" s="16" t="s">
        <v>24</v>
      </c>
      <c r="N159" s="16">
        <v>0</v>
      </c>
      <c r="O159" s="16">
        <v>0</v>
      </c>
      <c r="P159" s="16">
        <v>0</v>
      </c>
      <c r="Q159" s="16">
        <f t="shared" si="10"/>
        <v>0</v>
      </c>
      <c r="R159" s="16">
        <f t="shared" si="11"/>
        <v>32000</v>
      </c>
      <c r="S159" s="16">
        <f t="shared" si="12"/>
        <v>0</v>
      </c>
      <c r="T159" s="30">
        <f t="shared" si="13"/>
        <v>0</v>
      </c>
      <c r="U159" s="30">
        <f t="shared" si="14"/>
        <v>0</v>
      </c>
    </row>
    <row r="160" spans="1:21" s="16" customFormat="1" ht="20" customHeight="1" x14ac:dyDescent="0.35">
      <c r="A160" s="16" t="s">
        <v>257</v>
      </c>
      <c r="B160" s="28">
        <v>46084</v>
      </c>
      <c r="C160" s="16" t="s">
        <v>17</v>
      </c>
      <c r="D160" s="16" t="s">
        <v>242</v>
      </c>
      <c r="E160" s="29">
        <v>46082</v>
      </c>
      <c r="F160" s="16" t="s">
        <v>65</v>
      </c>
      <c r="G160" s="16" t="s">
        <v>139</v>
      </c>
      <c r="H160" s="16">
        <v>22</v>
      </c>
      <c r="I160" s="16" t="s">
        <v>21</v>
      </c>
      <c r="J160" s="16" t="s">
        <v>99</v>
      </c>
      <c r="K160" s="16" t="s">
        <v>521</v>
      </c>
      <c r="L160" s="16" t="s">
        <v>254</v>
      </c>
      <c r="M160" s="16" t="s">
        <v>24</v>
      </c>
      <c r="N160" s="16">
        <v>0</v>
      </c>
      <c r="O160" s="16">
        <v>0</v>
      </c>
      <c r="P160" s="16">
        <v>0</v>
      </c>
      <c r="Q160" s="16">
        <f t="shared" si="10"/>
        <v>0</v>
      </c>
      <c r="R160" s="16">
        <f t="shared" si="11"/>
        <v>0</v>
      </c>
      <c r="S160" s="16">
        <f t="shared" si="12"/>
        <v>0</v>
      </c>
      <c r="T160" s="30">
        <f t="shared" si="13"/>
        <v>22000</v>
      </c>
      <c r="U160" s="30">
        <f t="shared" si="14"/>
        <v>0</v>
      </c>
    </row>
    <row r="161" spans="1:21" s="16" customFormat="1" ht="20" customHeight="1" x14ac:dyDescent="0.35">
      <c r="A161" s="16" t="s">
        <v>258</v>
      </c>
      <c r="B161" s="28">
        <v>46084</v>
      </c>
      <c r="C161" s="16" t="s">
        <v>17</v>
      </c>
      <c r="D161" s="16" t="s">
        <v>242</v>
      </c>
      <c r="E161" s="29">
        <v>46082</v>
      </c>
      <c r="F161" s="16" t="s">
        <v>65</v>
      </c>
      <c r="G161" s="16" t="s">
        <v>102</v>
      </c>
      <c r="H161" s="16">
        <v>17</v>
      </c>
      <c r="I161" s="16" t="s">
        <v>84</v>
      </c>
      <c r="J161" s="16" t="s">
        <v>99</v>
      </c>
      <c r="K161" s="16" t="s">
        <v>521</v>
      </c>
      <c r="L161" s="16" t="s">
        <v>254</v>
      </c>
      <c r="M161" s="16" t="s">
        <v>24</v>
      </c>
      <c r="N161" s="16">
        <v>0</v>
      </c>
      <c r="O161" s="16">
        <v>0</v>
      </c>
      <c r="P161" s="16">
        <v>0</v>
      </c>
      <c r="Q161" s="16">
        <f t="shared" si="10"/>
        <v>0</v>
      </c>
      <c r="R161" s="16">
        <f t="shared" si="11"/>
        <v>0</v>
      </c>
      <c r="S161" s="16">
        <f t="shared" si="12"/>
        <v>0</v>
      </c>
      <c r="T161" s="30">
        <f t="shared" si="13"/>
        <v>0</v>
      </c>
      <c r="U161" s="30">
        <f t="shared" si="14"/>
        <v>0</v>
      </c>
    </row>
    <row r="162" spans="1:21" s="16" customFormat="1" ht="20" customHeight="1" x14ac:dyDescent="0.35">
      <c r="A162" s="16" t="s">
        <v>259</v>
      </c>
      <c r="B162" s="28">
        <v>46084</v>
      </c>
      <c r="C162" s="16" t="s">
        <v>17</v>
      </c>
      <c r="D162" s="16" t="s">
        <v>242</v>
      </c>
      <c r="E162" s="29">
        <v>46082</v>
      </c>
      <c r="F162" s="16" t="s">
        <v>65</v>
      </c>
      <c r="G162" s="16" t="s">
        <v>105</v>
      </c>
      <c r="H162" s="16">
        <v>9</v>
      </c>
      <c r="I162" s="16" t="s">
        <v>106</v>
      </c>
      <c r="J162" s="16" t="s">
        <v>99</v>
      </c>
      <c r="K162" s="16" t="s">
        <v>521</v>
      </c>
      <c r="L162" s="16" t="s">
        <v>160</v>
      </c>
      <c r="M162" s="16" t="s">
        <v>24</v>
      </c>
      <c r="N162" s="16">
        <v>0</v>
      </c>
      <c r="O162" s="16">
        <v>0</v>
      </c>
      <c r="P162" s="16">
        <v>0</v>
      </c>
      <c r="Q162" s="16">
        <f t="shared" si="10"/>
        <v>0</v>
      </c>
      <c r="R162" s="16">
        <f t="shared" si="11"/>
        <v>0</v>
      </c>
      <c r="S162" s="16">
        <f t="shared" si="12"/>
        <v>0</v>
      </c>
      <c r="T162" s="30">
        <f t="shared" si="13"/>
        <v>0</v>
      </c>
      <c r="U162" s="30">
        <f t="shared" si="14"/>
        <v>9000</v>
      </c>
    </row>
    <row r="163" spans="1:21" s="16" customFormat="1" ht="20" customHeight="1" x14ac:dyDescent="0.35">
      <c r="A163" s="16" t="s">
        <v>260</v>
      </c>
      <c r="B163" s="28">
        <v>46084</v>
      </c>
      <c r="C163" s="16" t="s">
        <v>17</v>
      </c>
      <c r="D163" s="16" t="s">
        <v>242</v>
      </c>
      <c r="E163" s="29">
        <v>46082</v>
      </c>
      <c r="F163" s="16" t="s">
        <v>26</v>
      </c>
      <c r="G163" s="16" t="s">
        <v>27</v>
      </c>
      <c r="H163" s="16">
        <v>10000</v>
      </c>
      <c r="I163" s="16" t="s">
        <v>28</v>
      </c>
      <c r="J163" s="16" t="s">
        <v>29</v>
      </c>
      <c r="K163" s="16" t="s">
        <v>521</v>
      </c>
      <c r="L163" s="16" t="s">
        <v>168</v>
      </c>
      <c r="M163" s="16" t="s">
        <v>24</v>
      </c>
      <c r="N163" s="16">
        <v>10000</v>
      </c>
      <c r="O163" s="16">
        <v>0</v>
      </c>
      <c r="P163" s="16">
        <v>0</v>
      </c>
      <c r="Q163" s="16">
        <f t="shared" si="10"/>
        <v>0</v>
      </c>
      <c r="R163" s="16">
        <f t="shared" si="11"/>
        <v>0</v>
      </c>
      <c r="S163" s="16">
        <f t="shared" si="12"/>
        <v>0</v>
      </c>
      <c r="T163" s="30">
        <f t="shared" si="13"/>
        <v>0</v>
      </c>
      <c r="U163" s="30">
        <f t="shared" si="14"/>
        <v>0</v>
      </c>
    </row>
    <row r="164" spans="1:21" s="16" customFormat="1" ht="20" customHeight="1" x14ac:dyDescent="0.35">
      <c r="A164" s="16" t="s">
        <v>263</v>
      </c>
      <c r="B164" s="28">
        <v>46084</v>
      </c>
      <c r="C164" s="16" t="s">
        <v>17</v>
      </c>
      <c r="D164" s="16" t="s">
        <v>242</v>
      </c>
      <c r="E164" s="29">
        <v>46082</v>
      </c>
      <c r="F164" s="16" t="s">
        <v>112</v>
      </c>
      <c r="G164" s="16" t="s">
        <v>113</v>
      </c>
      <c r="H164" s="16">
        <v>5</v>
      </c>
      <c r="I164" s="16" t="s">
        <v>114</v>
      </c>
      <c r="J164" s="16" t="s">
        <v>115</v>
      </c>
      <c r="K164" s="16" t="s">
        <v>521</v>
      </c>
      <c r="L164" s="16" t="s">
        <v>116</v>
      </c>
      <c r="M164" s="16" t="s">
        <v>24</v>
      </c>
      <c r="N164" s="16">
        <v>0</v>
      </c>
      <c r="O164" s="16">
        <v>5</v>
      </c>
      <c r="P164" s="16">
        <v>0</v>
      </c>
      <c r="Q164" s="16">
        <f t="shared" si="10"/>
        <v>0</v>
      </c>
      <c r="R164" s="16">
        <f t="shared" si="11"/>
        <v>0</v>
      </c>
      <c r="S164" s="16">
        <f t="shared" si="12"/>
        <v>0</v>
      </c>
      <c r="T164" s="30">
        <f t="shared" si="13"/>
        <v>0</v>
      </c>
      <c r="U164" s="30">
        <f t="shared" si="14"/>
        <v>0</v>
      </c>
    </row>
    <row r="165" spans="1:21" s="16" customFormat="1" ht="20" customHeight="1" x14ac:dyDescent="0.35">
      <c r="A165" s="16" t="s">
        <v>264</v>
      </c>
      <c r="B165" s="28">
        <v>46084</v>
      </c>
      <c r="C165" s="16" t="s">
        <v>17</v>
      </c>
      <c r="D165" s="16" t="s">
        <v>242</v>
      </c>
      <c r="E165" s="29">
        <v>46082</v>
      </c>
      <c r="F165" s="16" t="s">
        <v>112</v>
      </c>
      <c r="G165" s="16" t="s">
        <v>118</v>
      </c>
      <c r="H165" s="16">
        <v>3</v>
      </c>
      <c r="I165" s="16" t="s">
        <v>114</v>
      </c>
      <c r="J165" s="16" t="s">
        <v>115</v>
      </c>
      <c r="K165" s="16" t="s">
        <v>521</v>
      </c>
      <c r="L165" s="16" t="s">
        <v>119</v>
      </c>
      <c r="M165" s="16" t="s">
        <v>24</v>
      </c>
      <c r="N165" s="16">
        <v>0</v>
      </c>
      <c r="O165" s="16">
        <v>0</v>
      </c>
      <c r="P165" s="16">
        <v>3</v>
      </c>
      <c r="Q165" s="16">
        <f t="shared" si="10"/>
        <v>0</v>
      </c>
      <c r="R165" s="16">
        <f t="shared" si="11"/>
        <v>0</v>
      </c>
      <c r="S165" s="16">
        <f t="shared" si="12"/>
        <v>0</v>
      </c>
      <c r="T165" s="30">
        <f t="shared" si="13"/>
        <v>0</v>
      </c>
      <c r="U165" s="30">
        <f t="shared" si="14"/>
        <v>0</v>
      </c>
    </row>
    <row r="166" spans="1:21" s="16" customFormat="1" ht="20" customHeight="1" x14ac:dyDescent="0.35">
      <c r="A166" s="16" t="s">
        <v>265</v>
      </c>
      <c r="B166" s="28">
        <v>46084</v>
      </c>
      <c r="C166" s="16" t="s">
        <v>17</v>
      </c>
      <c r="D166" s="16" t="s">
        <v>242</v>
      </c>
      <c r="E166" s="29">
        <v>46082</v>
      </c>
      <c r="F166" s="16" t="s">
        <v>261</v>
      </c>
      <c r="G166" s="16" t="s">
        <v>20</v>
      </c>
      <c r="H166" s="16">
        <v>20.399999999999999</v>
      </c>
      <c r="I166" s="16" t="s">
        <v>21</v>
      </c>
      <c r="J166" s="16" t="s">
        <v>22</v>
      </c>
      <c r="K166" s="16" t="s">
        <v>522</v>
      </c>
      <c r="L166" s="16" t="s">
        <v>262</v>
      </c>
      <c r="M166" s="16" t="s">
        <v>24</v>
      </c>
      <c r="N166" s="16">
        <v>0</v>
      </c>
      <c r="O166" s="16">
        <v>0</v>
      </c>
      <c r="P166" s="16">
        <v>0</v>
      </c>
      <c r="Q166" s="16">
        <f t="shared" si="10"/>
        <v>0</v>
      </c>
      <c r="R166" s="16">
        <f t="shared" si="11"/>
        <v>20400</v>
      </c>
      <c r="S166" s="16">
        <f t="shared" si="12"/>
        <v>0</v>
      </c>
      <c r="T166" s="30">
        <f t="shared" si="13"/>
        <v>0</v>
      </c>
      <c r="U166" s="30">
        <f t="shared" si="14"/>
        <v>0</v>
      </c>
    </row>
    <row r="167" spans="1:21" s="16" customFormat="1" ht="20" customHeight="1" x14ac:dyDescent="0.35">
      <c r="A167" s="16" t="s">
        <v>266</v>
      </c>
      <c r="B167" s="28">
        <v>46085</v>
      </c>
      <c r="C167" s="16" t="s">
        <v>32</v>
      </c>
      <c r="D167" s="16" t="s">
        <v>242</v>
      </c>
      <c r="E167" s="29">
        <v>46082</v>
      </c>
      <c r="F167" s="16" t="s">
        <v>19</v>
      </c>
      <c r="G167" s="16" t="s">
        <v>60</v>
      </c>
      <c r="H167" s="16">
        <v>98</v>
      </c>
      <c r="I167" s="16" t="s">
        <v>21</v>
      </c>
      <c r="J167" s="16" t="s">
        <v>22</v>
      </c>
      <c r="K167" s="16" t="s">
        <v>522</v>
      </c>
      <c r="L167" s="16" t="s">
        <v>61</v>
      </c>
      <c r="M167" s="16" t="s">
        <v>24</v>
      </c>
      <c r="N167" s="16">
        <v>0</v>
      </c>
      <c r="O167" s="16">
        <v>0</v>
      </c>
      <c r="P167" s="16">
        <v>0</v>
      </c>
      <c r="Q167" s="16">
        <f t="shared" si="10"/>
        <v>0</v>
      </c>
      <c r="R167" s="16">
        <f t="shared" si="11"/>
        <v>98000</v>
      </c>
      <c r="S167" s="16">
        <f t="shared" si="12"/>
        <v>0</v>
      </c>
      <c r="T167" s="30">
        <f t="shared" si="13"/>
        <v>0</v>
      </c>
      <c r="U167" s="30">
        <f t="shared" si="14"/>
        <v>0</v>
      </c>
    </row>
    <row r="168" spans="1:21" s="16" customFormat="1" ht="20" customHeight="1" x14ac:dyDescent="0.35">
      <c r="A168" s="16" t="s">
        <v>267</v>
      </c>
      <c r="B168" s="28">
        <v>46085</v>
      </c>
      <c r="C168" s="16" t="s">
        <v>32</v>
      </c>
      <c r="D168" s="16" t="s">
        <v>242</v>
      </c>
      <c r="E168" s="29">
        <v>46082</v>
      </c>
      <c r="F168" s="16" t="s">
        <v>65</v>
      </c>
      <c r="G168" s="16" t="s">
        <v>98</v>
      </c>
      <c r="H168" s="16">
        <v>95.5</v>
      </c>
      <c r="I168" s="16" t="s">
        <v>21</v>
      </c>
      <c r="J168" s="16" t="s">
        <v>99</v>
      </c>
      <c r="K168" s="16" t="s">
        <v>522</v>
      </c>
      <c r="L168" s="16" t="s">
        <v>100</v>
      </c>
      <c r="M168" s="16" t="s">
        <v>24</v>
      </c>
      <c r="N168" s="16">
        <v>0</v>
      </c>
      <c r="O168" s="16">
        <v>0</v>
      </c>
      <c r="P168" s="16">
        <v>0</v>
      </c>
      <c r="Q168" s="16">
        <f t="shared" si="10"/>
        <v>0</v>
      </c>
      <c r="R168" s="16">
        <f t="shared" si="11"/>
        <v>0</v>
      </c>
      <c r="S168" s="16">
        <f t="shared" si="12"/>
        <v>47750</v>
      </c>
      <c r="T168" s="30">
        <f t="shared" si="13"/>
        <v>0</v>
      </c>
      <c r="U168" s="30">
        <f t="shared" si="14"/>
        <v>0</v>
      </c>
    </row>
    <row r="169" spans="1:21" s="16" customFormat="1" ht="20" customHeight="1" x14ac:dyDescent="0.35">
      <c r="A169" s="16" t="s">
        <v>269</v>
      </c>
      <c r="B169" s="28">
        <v>46085</v>
      </c>
      <c r="C169" s="16" t="s">
        <v>32</v>
      </c>
      <c r="D169" s="16" t="s">
        <v>242</v>
      </c>
      <c r="E169" s="29">
        <v>46082</v>
      </c>
      <c r="F169" s="16" t="s">
        <v>65</v>
      </c>
      <c r="G169" s="16" t="s">
        <v>102</v>
      </c>
      <c r="H169" s="16">
        <v>21</v>
      </c>
      <c r="I169" s="16" t="s">
        <v>84</v>
      </c>
      <c r="J169" s="16" t="s">
        <v>99</v>
      </c>
      <c r="K169" s="16" t="s">
        <v>522</v>
      </c>
      <c r="L169" s="16" t="s">
        <v>103</v>
      </c>
      <c r="M169" s="16" t="s">
        <v>24</v>
      </c>
      <c r="N169" s="16">
        <v>0</v>
      </c>
      <c r="O169" s="16">
        <v>0</v>
      </c>
      <c r="P169" s="16">
        <v>0</v>
      </c>
      <c r="Q169" s="16">
        <f t="shared" si="10"/>
        <v>0</v>
      </c>
      <c r="R169" s="16">
        <f t="shared" si="11"/>
        <v>0</v>
      </c>
      <c r="S169" s="16">
        <f t="shared" si="12"/>
        <v>0</v>
      </c>
      <c r="T169" s="30">
        <f t="shared" si="13"/>
        <v>0</v>
      </c>
      <c r="U169" s="30">
        <f t="shared" si="14"/>
        <v>0</v>
      </c>
    </row>
    <row r="170" spans="1:21" s="16" customFormat="1" ht="20" customHeight="1" x14ac:dyDescent="0.35">
      <c r="A170" s="16" t="s">
        <v>270</v>
      </c>
      <c r="B170" s="28">
        <v>46085</v>
      </c>
      <c r="C170" s="16" t="s">
        <v>32</v>
      </c>
      <c r="D170" s="16" t="s">
        <v>242</v>
      </c>
      <c r="E170" s="29">
        <v>46082</v>
      </c>
      <c r="F170" s="16" t="s">
        <v>65</v>
      </c>
      <c r="G170" s="16" t="s">
        <v>105</v>
      </c>
      <c r="H170" s="16">
        <v>15</v>
      </c>
      <c r="I170" s="16" t="s">
        <v>106</v>
      </c>
      <c r="J170" s="16" t="s">
        <v>99</v>
      </c>
      <c r="K170" s="16" t="s">
        <v>522</v>
      </c>
      <c r="L170" s="16" t="s">
        <v>103</v>
      </c>
      <c r="M170" s="16" t="s">
        <v>24</v>
      </c>
      <c r="N170" s="16">
        <v>0</v>
      </c>
      <c r="O170" s="16">
        <v>0</v>
      </c>
      <c r="P170" s="16">
        <v>0</v>
      </c>
      <c r="Q170" s="16">
        <f t="shared" si="10"/>
        <v>0</v>
      </c>
      <c r="R170" s="16">
        <f t="shared" si="11"/>
        <v>0</v>
      </c>
      <c r="S170" s="16">
        <f t="shared" si="12"/>
        <v>0</v>
      </c>
      <c r="T170" s="30">
        <f t="shared" si="13"/>
        <v>0</v>
      </c>
      <c r="U170" s="30">
        <f t="shared" si="14"/>
        <v>15000</v>
      </c>
    </row>
    <row r="171" spans="1:21" s="16" customFormat="1" ht="20" customHeight="1" x14ac:dyDescent="0.35">
      <c r="A171" s="16" t="s">
        <v>271</v>
      </c>
      <c r="B171" s="28">
        <v>46085</v>
      </c>
      <c r="C171" s="16" t="s">
        <v>32</v>
      </c>
      <c r="D171" s="16" t="s">
        <v>242</v>
      </c>
      <c r="E171" s="29">
        <v>46082</v>
      </c>
      <c r="F171" s="16" t="s">
        <v>65</v>
      </c>
      <c r="G171" s="16" t="s">
        <v>153</v>
      </c>
      <c r="H171" s="16">
        <v>3</v>
      </c>
      <c r="I171" s="16" t="s">
        <v>106</v>
      </c>
      <c r="J171" s="16" t="s">
        <v>99</v>
      </c>
      <c r="K171" s="16" t="s">
        <v>522</v>
      </c>
      <c r="L171" s="16" t="s">
        <v>268</v>
      </c>
      <c r="M171" s="16" t="s">
        <v>24</v>
      </c>
      <c r="N171" s="16">
        <v>0</v>
      </c>
      <c r="O171" s="16">
        <v>0</v>
      </c>
      <c r="P171" s="16">
        <v>0</v>
      </c>
      <c r="Q171" s="16">
        <f t="shared" si="10"/>
        <v>0</v>
      </c>
      <c r="R171" s="16">
        <f t="shared" si="11"/>
        <v>0</v>
      </c>
      <c r="S171" s="16">
        <f t="shared" si="12"/>
        <v>0</v>
      </c>
      <c r="T171" s="30">
        <f t="shared" si="13"/>
        <v>0</v>
      </c>
      <c r="U171" s="30">
        <f t="shared" si="14"/>
        <v>0</v>
      </c>
    </row>
    <row r="172" spans="1:21" s="16" customFormat="1" ht="20" customHeight="1" x14ac:dyDescent="0.35">
      <c r="A172" s="16" t="s">
        <v>272</v>
      </c>
      <c r="B172" s="28">
        <v>46085</v>
      </c>
      <c r="C172" s="16" t="s">
        <v>32</v>
      </c>
      <c r="D172" s="16" t="s">
        <v>242</v>
      </c>
      <c r="E172" s="29">
        <v>46082</v>
      </c>
      <c r="F172" s="16" t="s">
        <v>26</v>
      </c>
      <c r="G172" s="16" t="s">
        <v>27</v>
      </c>
      <c r="H172" s="16">
        <v>18000</v>
      </c>
      <c r="I172" s="16" t="s">
        <v>28</v>
      </c>
      <c r="J172" s="16" t="s">
        <v>29</v>
      </c>
      <c r="K172" s="16" t="s">
        <v>522</v>
      </c>
      <c r="L172" s="16" t="s">
        <v>127</v>
      </c>
      <c r="M172" s="16" t="s">
        <v>24</v>
      </c>
      <c r="N172" s="16">
        <v>18000</v>
      </c>
      <c r="O172" s="16">
        <v>0</v>
      </c>
      <c r="P172" s="16">
        <v>0</v>
      </c>
      <c r="Q172" s="16">
        <f t="shared" si="10"/>
        <v>0</v>
      </c>
      <c r="R172" s="16">
        <f t="shared" si="11"/>
        <v>0</v>
      </c>
      <c r="S172" s="16">
        <f t="shared" si="12"/>
        <v>0</v>
      </c>
      <c r="T172" s="30">
        <f t="shared" si="13"/>
        <v>0</v>
      </c>
      <c r="U172" s="30">
        <f t="shared" si="14"/>
        <v>0</v>
      </c>
    </row>
    <row r="173" spans="1:21" s="16" customFormat="1" ht="20" customHeight="1" x14ac:dyDescent="0.35">
      <c r="A173" s="16" t="s">
        <v>273</v>
      </c>
      <c r="B173" s="28">
        <v>46085</v>
      </c>
      <c r="C173" s="16" t="s">
        <v>32</v>
      </c>
      <c r="D173" s="16" t="s">
        <v>242</v>
      </c>
      <c r="E173" s="29">
        <v>46082</v>
      </c>
      <c r="F173" s="16" t="s">
        <v>112</v>
      </c>
      <c r="G173" s="16" t="s">
        <v>113</v>
      </c>
      <c r="H173" s="16">
        <v>7</v>
      </c>
      <c r="I173" s="16" t="s">
        <v>114</v>
      </c>
      <c r="J173" s="16" t="s">
        <v>115</v>
      </c>
      <c r="K173" s="16" t="s">
        <v>522</v>
      </c>
      <c r="L173" s="16" t="s">
        <v>116</v>
      </c>
      <c r="M173" s="16" t="s">
        <v>24</v>
      </c>
      <c r="N173" s="16">
        <v>0</v>
      </c>
      <c r="O173" s="16">
        <v>7</v>
      </c>
      <c r="P173" s="16">
        <v>0</v>
      </c>
      <c r="Q173" s="16">
        <f t="shared" si="10"/>
        <v>0</v>
      </c>
      <c r="R173" s="16">
        <f t="shared" si="11"/>
        <v>0</v>
      </c>
      <c r="S173" s="16">
        <f t="shared" si="12"/>
        <v>0</v>
      </c>
      <c r="T173" s="30">
        <f t="shared" si="13"/>
        <v>0</v>
      </c>
      <c r="U173" s="30">
        <f t="shared" si="14"/>
        <v>0</v>
      </c>
    </row>
    <row r="174" spans="1:21" s="16" customFormat="1" ht="20" customHeight="1" x14ac:dyDescent="0.35">
      <c r="A174" s="16" t="s">
        <v>274</v>
      </c>
      <c r="B174" s="28">
        <v>46085</v>
      </c>
      <c r="C174" s="16" t="s">
        <v>32</v>
      </c>
      <c r="D174" s="16" t="s">
        <v>242</v>
      </c>
      <c r="E174" s="29">
        <v>46082</v>
      </c>
      <c r="F174" s="16" t="s">
        <v>112</v>
      </c>
      <c r="G174" s="16" t="s">
        <v>118</v>
      </c>
      <c r="H174" s="16">
        <v>5</v>
      </c>
      <c r="I174" s="16" t="s">
        <v>114</v>
      </c>
      <c r="J174" s="16" t="s">
        <v>115</v>
      </c>
      <c r="K174" s="16" t="s">
        <v>522</v>
      </c>
      <c r="L174" s="16" t="s">
        <v>119</v>
      </c>
      <c r="M174" s="16" t="s">
        <v>24</v>
      </c>
      <c r="N174" s="16">
        <v>0</v>
      </c>
      <c r="O174" s="16">
        <v>0</v>
      </c>
      <c r="P174" s="16">
        <v>5</v>
      </c>
      <c r="Q174" s="16">
        <f t="shared" si="10"/>
        <v>0</v>
      </c>
      <c r="R174" s="16">
        <f t="shared" si="11"/>
        <v>0</v>
      </c>
      <c r="S174" s="16">
        <f t="shared" si="12"/>
        <v>0</v>
      </c>
      <c r="T174" s="30">
        <f t="shared" si="13"/>
        <v>0</v>
      </c>
      <c r="U174" s="30">
        <f t="shared" si="14"/>
        <v>0</v>
      </c>
    </row>
    <row r="175" spans="1:21" s="16" customFormat="1" ht="20" customHeight="1" x14ac:dyDescent="0.35">
      <c r="A175" s="16" t="s">
        <v>275</v>
      </c>
      <c r="B175" s="28">
        <v>46086</v>
      </c>
      <c r="C175" s="16" t="s">
        <v>36</v>
      </c>
      <c r="D175" s="16" t="s">
        <v>242</v>
      </c>
      <c r="E175" s="29">
        <v>46082</v>
      </c>
      <c r="F175" s="16" t="s">
        <v>19</v>
      </c>
      <c r="G175" s="16" t="s">
        <v>60</v>
      </c>
      <c r="H175" s="16">
        <v>4</v>
      </c>
      <c r="I175" s="16" t="s">
        <v>21</v>
      </c>
      <c r="J175" s="16" t="s">
        <v>22</v>
      </c>
      <c r="K175" s="16" t="s">
        <v>522</v>
      </c>
      <c r="L175" s="16" t="s">
        <v>61</v>
      </c>
      <c r="M175" s="16" t="s">
        <v>24</v>
      </c>
      <c r="N175" s="16">
        <v>0</v>
      </c>
      <c r="O175" s="16">
        <v>0</v>
      </c>
      <c r="P175" s="16">
        <v>0</v>
      </c>
      <c r="Q175" s="16">
        <f t="shared" si="10"/>
        <v>0</v>
      </c>
      <c r="R175" s="16">
        <f t="shared" si="11"/>
        <v>4000</v>
      </c>
      <c r="S175" s="16">
        <f t="shared" si="12"/>
        <v>0</v>
      </c>
      <c r="T175" s="30">
        <f t="shared" si="13"/>
        <v>0</v>
      </c>
      <c r="U175" s="30">
        <f t="shared" si="14"/>
        <v>0</v>
      </c>
    </row>
    <row r="176" spans="1:21" s="16" customFormat="1" ht="20" customHeight="1" x14ac:dyDescent="0.35">
      <c r="A176" s="16" t="s">
        <v>276</v>
      </c>
      <c r="B176" s="28">
        <v>46086</v>
      </c>
      <c r="C176" s="16" t="s">
        <v>36</v>
      </c>
      <c r="D176" s="16" t="s">
        <v>242</v>
      </c>
      <c r="E176" s="29">
        <v>46082</v>
      </c>
      <c r="F176" s="16" t="s">
        <v>65</v>
      </c>
      <c r="G176" s="16" t="s">
        <v>98</v>
      </c>
      <c r="H176" s="16">
        <v>116.5</v>
      </c>
      <c r="I176" s="16" t="s">
        <v>21</v>
      </c>
      <c r="J176" s="16" t="s">
        <v>99</v>
      </c>
      <c r="K176" s="16" t="s">
        <v>522</v>
      </c>
      <c r="L176" s="16" t="s">
        <v>100</v>
      </c>
      <c r="M176" s="16" t="s">
        <v>24</v>
      </c>
      <c r="N176" s="16">
        <v>0</v>
      </c>
      <c r="O176" s="16">
        <v>0</v>
      </c>
      <c r="P176" s="16">
        <v>0</v>
      </c>
      <c r="Q176" s="16">
        <f t="shared" si="10"/>
        <v>0</v>
      </c>
      <c r="R176" s="16">
        <f t="shared" si="11"/>
        <v>0</v>
      </c>
      <c r="S176" s="16">
        <f t="shared" si="12"/>
        <v>58250</v>
      </c>
      <c r="T176" s="30">
        <f t="shared" si="13"/>
        <v>0</v>
      </c>
      <c r="U176" s="30">
        <f t="shared" si="14"/>
        <v>0</v>
      </c>
    </row>
    <row r="177" spans="1:21" s="16" customFormat="1" ht="20" customHeight="1" x14ac:dyDescent="0.35">
      <c r="A177" s="16" t="s">
        <v>277</v>
      </c>
      <c r="B177" s="28">
        <v>46086</v>
      </c>
      <c r="C177" s="16" t="s">
        <v>36</v>
      </c>
      <c r="D177" s="16" t="s">
        <v>242</v>
      </c>
      <c r="E177" s="29">
        <v>46082</v>
      </c>
      <c r="F177" s="16" t="s">
        <v>65</v>
      </c>
      <c r="G177" s="16" t="s">
        <v>102</v>
      </c>
      <c r="H177" s="16">
        <v>19.5</v>
      </c>
      <c r="I177" s="16" t="s">
        <v>84</v>
      </c>
      <c r="J177" s="16" t="s">
        <v>99</v>
      </c>
      <c r="K177" s="16" t="s">
        <v>522</v>
      </c>
      <c r="L177" s="16" t="s">
        <v>103</v>
      </c>
      <c r="M177" s="16" t="s">
        <v>24</v>
      </c>
      <c r="N177" s="16">
        <v>0</v>
      </c>
      <c r="O177" s="16">
        <v>0</v>
      </c>
      <c r="P177" s="16">
        <v>0</v>
      </c>
      <c r="Q177" s="16">
        <f t="shared" si="10"/>
        <v>0</v>
      </c>
      <c r="R177" s="16">
        <f t="shared" si="11"/>
        <v>0</v>
      </c>
      <c r="S177" s="16">
        <f t="shared" si="12"/>
        <v>0</v>
      </c>
      <c r="T177" s="30">
        <f t="shared" si="13"/>
        <v>0</v>
      </c>
      <c r="U177" s="30">
        <f t="shared" si="14"/>
        <v>0</v>
      </c>
    </row>
    <row r="178" spans="1:21" s="16" customFormat="1" ht="20" customHeight="1" x14ac:dyDescent="0.35">
      <c r="A178" s="16" t="s">
        <v>278</v>
      </c>
      <c r="B178" s="28">
        <v>46086</v>
      </c>
      <c r="C178" s="16" t="s">
        <v>36</v>
      </c>
      <c r="D178" s="16" t="s">
        <v>242</v>
      </c>
      <c r="E178" s="29">
        <v>46082</v>
      </c>
      <c r="F178" s="16" t="s">
        <v>65</v>
      </c>
      <c r="G178" s="16" t="s">
        <v>105</v>
      </c>
      <c r="H178" s="16">
        <v>15</v>
      </c>
      <c r="I178" s="16" t="s">
        <v>106</v>
      </c>
      <c r="J178" s="16" t="s">
        <v>99</v>
      </c>
      <c r="K178" s="16" t="s">
        <v>522</v>
      </c>
      <c r="L178" s="16" t="s">
        <v>103</v>
      </c>
      <c r="M178" s="16" t="s">
        <v>24</v>
      </c>
      <c r="N178" s="16">
        <v>0</v>
      </c>
      <c r="O178" s="16">
        <v>0</v>
      </c>
      <c r="P178" s="16">
        <v>0</v>
      </c>
      <c r="Q178" s="16">
        <f t="shared" si="10"/>
        <v>0</v>
      </c>
      <c r="R178" s="16">
        <f t="shared" si="11"/>
        <v>0</v>
      </c>
      <c r="S178" s="16">
        <f t="shared" si="12"/>
        <v>0</v>
      </c>
      <c r="T178" s="30">
        <f t="shared" si="13"/>
        <v>0</v>
      </c>
      <c r="U178" s="30">
        <f t="shared" si="14"/>
        <v>15000</v>
      </c>
    </row>
    <row r="179" spans="1:21" s="16" customFormat="1" ht="20" customHeight="1" x14ac:dyDescent="0.35">
      <c r="A179" s="16" t="s">
        <v>279</v>
      </c>
      <c r="B179" s="28">
        <v>46086</v>
      </c>
      <c r="C179" s="16" t="s">
        <v>36</v>
      </c>
      <c r="D179" s="16" t="s">
        <v>242</v>
      </c>
      <c r="E179" s="29">
        <v>46082</v>
      </c>
      <c r="F179" s="16" t="s">
        <v>26</v>
      </c>
      <c r="G179" s="16" t="s">
        <v>27</v>
      </c>
      <c r="H179" s="16">
        <v>20000</v>
      </c>
      <c r="I179" s="16" t="s">
        <v>28</v>
      </c>
      <c r="J179" s="16" t="s">
        <v>29</v>
      </c>
      <c r="K179" s="16" t="s">
        <v>522</v>
      </c>
      <c r="L179" s="16" t="s">
        <v>127</v>
      </c>
      <c r="M179" s="16" t="s">
        <v>24</v>
      </c>
      <c r="N179" s="16">
        <v>20000</v>
      </c>
      <c r="O179" s="16">
        <v>0</v>
      </c>
      <c r="P179" s="16">
        <v>0</v>
      </c>
      <c r="Q179" s="16">
        <f t="shared" si="10"/>
        <v>0</v>
      </c>
      <c r="R179" s="16">
        <f t="shared" si="11"/>
        <v>0</v>
      </c>
      <c r="S179" s="16">
        <f t="shared" si="12"/>
        <v>0</v>
      </c>
      <c r="T179" s="30">
        <f t="shared" si="13"/>
        <v>0</v>
      </c>
      <c r="U179" s="30">
        <f t="shared" si="14"/>
        <v>0</v>
      </c>
    </row>
    <row r="180" spans="1:21" s="16" customFormat="1" ht="20" customHeight="1" x14ac:dyDescent="0.35">
      <c r="A180" s="16" t="s">
        <v>281</v>
      </c>
      <c r="B180" s="28">
        <v>46086</v>
      </c>
      <c r="C180" s="16" t="s">
        <v>36</v>
      </c>
      <c r="D180" s="16" t="s">
        <v>242</v>
      </c>
      <c r="E180" s="29">
        <v>46082</v>
      </c>
      <c r="F180" s="16" t="s">
        <v>112</v>
      </c>
      <c r="G180" s="16" t="s">
        <v>113</v>
      </c>
      <c r="H180" s="16">
        <v>7</v>
      </c>
      <c r="I180" s="16" t="s">
        <v>114</v>
      </c>
      <c r="J180" s="16" t="s">
        <v>115</v>
      </c>
      <c r="K180" s="16" t="s">
        <v>522</v>
      </c>
      <c r="L180" s="16" t="s">
        <v>116</v>
      </c>
      <c r="M180" s="16" t="s">
        <v>24</v>
      </c>
      <c r="N180" s="16">
        <v>0</v>
      </c>
      <c r="O180" s="16">
        <v>7</v>
      </c>
      <c r="P180" s="16">
        <v>0</v>
      </c>
      <c r="Q180" s="16">
        <f t="shared" si="10"/>
        <v>0</v>
      </c>
      <c r="R180" s="16">
        <f t="shared" si="11"/>
        <v>0</v>
      </c>
      <c r="S180" s="16">
        <f t="shared" si="12"/>
        <v>0</v>
      </c>
      <c r="T180" s="30">
        <f t="shared" si="13"/>
        <v>0</v>
      </c>
      <c r="U180" s="30">
        <f t="shared" si="14"/>
        <v>0</v>
      </c>
    </row>
    <row r="181" spans="1:21" s="16" customFormat="1" ht="20" customHeight="1" x14ac:dyDescent="0.35">
      <c r="A181" s="16" t="s">
        <v>283</v>
      </c>
      <c r="B181" s="28">
        <v>46086</v>
      </c>
      <c r="C181" s="16" t="s">
        <v>36</v>
      </c>
      <c r="D181" s="16" t="s">
        <v>242</v>
      </c>
      <c r="E181" s="29">
        <v>46082</v>
      </c>
      <c r="F181" s="16" t="s">
        <v>112</v>
      </c>
      <c r="G181" s="16" t="s">
        <v>118</v>
      </c>
      <c r="H181" s="16">
        <v>5</v>
      </c>
      <c r="I181" s="16" t="s">
        <v>114</v>
      </c>
      <c r="J181" s="16" t="s">
        <v>115</v>
      </c>
      <c r="K181" s="16" t="s">
        <v>522</v>
      </c>
      <c r="L181" s="16" t="s">
        <v>119</v>
      </c>
      <c r="M181" s="16" t="s">
        <v>24</v>
      </c>
      <c r="N181" s="16">
        <v>0</v>
      </c>
      <c r="O181" s="16">
        <v>0</v>
      </c>
      <c r="P181" s="16">
        <v>5</v>
      </c>
      <c r="Q181" s="16">
        <f t="shared" si="10"/>
        <v>0</v>
      </c>
      <c r="R181" s="16">
        <f t="shared" si="11"/>
        <v>0</v>
      </c>
      <c r="S181" s="16">
        <f t="shared" si="12"/>
        <v>0</v>
      </c>
      <c r="T181" s="30">
        <f t="shared" si="13"/>
        <v>0</v>
      </c>
      <c r="U181" s="30">
        <f t="shared" si="14"/>
        <v>0</v>
      </c>
    </row>
    <row r="182" spans="1:21" s="16" customFormat="1" ht="20" customHeight="1" x14ac:dyDescent="0.35">
      <c r="A182" s="16" t="s">
        <v>284</v>
      </c>
      <c r="B182" s="28">
        <v>46087</v>
      </c>
      <c r="C182" s="16" t="s">
        <v>39</v>
      </c>
      <c r="D182" s="16" t="s">
        <v>242</v>
      </c>
      <c r="E182" s="29">
        <v>46082</v>
      </c>
      <c r="F182" s="16" t="s">
        <v>82</v>
      </c>
      <c r="G182" s="16" t="s">
        <v>83</v>
      </c>
      <c r="H182" s="16">
        <v>500</v>
      </c>
      <c r="I182" s="16" t="s">
        <v>84</v>
      </c>
      <c r="J182" s="16" t="s">
        <v>85</v>
      </c>
      <c r="K182" s="16" t="s">
        <v>522</v>
      </c>
      <c r="L182" s="16" t="s">
        <v>280</v>
      </c>
      <c r="M182" s="16" t="s">
        <v>24</v>
      </c>
      <c r="N182" s="16">
        <v>0</v>
      </c>
      <c r="O182" s="16">
        <v>0</v>
      </c>
      <c r="P182" s="16">
        <v>0</v>
      </c>
      <c r="Q182" s="16">
        <f t="shared" si="10"/>
        <v>0</v>
      </c>
      <c r="R182" s="16">
        <f t="shared" si="11"/>
        <v>0</v>
      </c>
      <c r="S182" s="16">
        <f t="shared" si="12"/>
        <v>0</v>
      </c>
      <c r="T182" s="30">
        <f t="shared" si="13"/>
        <v>0</v>
      </c>
      <c r="U182" s="30">
        <f t="shared" si="14"/>
        <v>0</v>
      </c>
    </row>
    <row r="183" spans="1:21" s="16" customFormat="1" ht="20" customHeight="1" x14ac:dyDescent="0.35">
      <c r="A183" s="16" t="s">
        <v>285</v>
      </c>
      <c r="B183" s="28">
        <v>46087</v>
      </c>
      <c r="C183" s="16" t="s">
        <v>39</v>
      </c>
      <c r="D183" s="16" t="s">
        <v>242</v>
      </c>
      <c r="E183" s="29">
        <v>46082</v>
      </c>
      <c r="F183" s="16" t="s">
        <v>82</v>
      </c>
      <c r="G183" s="16" t="s">
        <v>210</v>
      </c>
      <c r="H183" s="16">
        <v>2</v>
      </c>
      <c r="I183" s="16" t="s">
        <v>84</v>
      </c>
      <c r="J183" s="16" t="s">
        <v>211</v>
      </c>
      <c r="K183" s="16" t="s">
        <v>522</v>
      </c>
      <c r="L183" s="16" t="s">
        <v>282</v>
      </c>
      <c r="M183" s="16" t="s">
        <v>213</v>
      </c>
      <c r="N183" s="16">
        <v>0</v>
      </c>
      <c r="O183" s="16">
        <v>0</v>
      </c>
      <c r="P183" s="16">
        <v>0</v>
      </c>
      <c r="Q183" s="16">
        <f t="shared" si="10"/>
        <v>0</v>
      </c>
      <c r="R183" s="16">
        <f t="shared" si="11"/>
        <v>0</v>
      </c>
      <c r="S183" s="16">
        <f t="shared" si="12"/>
        <v>0</v>
      </c>
      <c r="T183" s="30">
        <f t="shared" si="13"/>
        <v>0</v>
      </c>
      <c r="U183" s="30">
        <f t="shared" si="14"/>
        <v>0</v>
      </c>
    </row>
    <row r="184" spans="1:21" s="16" customFormat="1" ht="20" customHeight="1" x14ac:dyDescent="0.35">
      <c r="A184" s="16" t="s">
        <v>286</v>
      </c>
      <c r="B184" s="28">
        <v>46087</v>
      </c>
      <c r="C184" s="16" t="s">
        <v>39</v>
      </c>
      <c r="D184" s="16" t="s">
        <v>242</v>
      </c>
      <c r="E184" s="29">
        <v>46082</v>
      </c>
      <c r="F184" s="16" t="s">
        <v>65</v>
      </c>
      <c r="G184" s="16" t="s">
        <v>98</v>
      </c>
      <c r="H184" s="16">
        <v>120</v>
      </c>
      <c r="I184" s="16" t="s">
        <v>21</v>
      </c>
      <c r="J184" s="16" t="s">
        <v>99</v>
      </c>
      <c r="K184" s="16" t="s">
        <v>522</v>
      </c>
      <c r="L184" s="16" t="s">
        <v>100</v>
      </c>
      <c r="M184" s="16" t="s">
        <v>24</v>
      </c>
      <c r="N184" s="16">
        <v>0</v>
      </c>
      <c r="O184" s="16">
        <v>0</v>
      </c>
      <c r="P184" s="16">
        <v>0</v>
      </c>
      <c r="Q184" s="16">
        <f t="shared" si="10"/>
        <v>0</v>
      </c>
      <c r="R184" s="16">
        <f t="shared" si="11"/>
        <v>0</v>
      </c>
      <c r="S184" s="16">
        <f t="shared" si="12"/>
        <v>60000</v>
      </c>
      <c r="T184" s="30">
        <f t="shared" si="13"/>
        <v>0</v>
      </c>
      <c r="U184" s="30">
        <f t="shared" si="14"/>
        <v>0</v>
      </c>
    </row>
    <row r="185" spans="1:21" s="16" customFormat="1" ht="20" customHeight="1" x14ac:dyDescent="0.35">
      <c r="A185" s="16" t="s">
        <v>287</v>
      </c>
      <c r="B185" s="28">
        <v>46087</v>
      </c>
      <c r="C185" s="16" t="s">
        <v>39</v>
      </c>
      <c r="D185" s="16" t="s">
        <v>242</v>
      </c>
      <c r="E185" s="29">
        <v>46082</v>
      </c>
      <c r="F185" s="16" t="s">
        <v>65</v>
      </c>
      <c r="G185" s="16" t="s">
        <v>102</v>
      </c>
      <c r="H185" s="16">
        <v>22</v>
      </c>
      <c r="I185" s="16" t="s">
        <v>84</v>
      </c>
      <c r="J185" s="16" t="s">
        <v>99</v>
      </c>
      <c r="K185" s="16" t="s">
        <v>522</v>
      </c>
      <c r="L185" s="16" t="s">
        <v>103</v>
      </c>
      <c r="M185" s="16" t="s">
        <v>24</v>
      </c>
      <c r="N185" s="16">
        <v>0</v>
      </c>
      <c r="O185" s="16">
        <v>0</v>
      </c>
      <c r="P185" s="16">
        <v>0</v>
      </c>
      <c r="Q185" s="16">
        <f t="shared" si="10"/>
        <v>0</v>
      </c>
      <c r="R185" s="16">
        <f t="shared" si="11"/>
        <v>0</v>
      </c>
      <c r="S185" s="16">
        <f t="shared" si="12"/>
        <v>0</v>
      </c>
      <c r="T185" s="30">
        <f t="shared" si="13"/>
        <v>0</v>
      </c>
      <c r="U185" s="30">
        <f t="shared" si="14"/>
        <v>0</v>
      </c>
    </row>
    <row r="186" spans="1:21" s="16" customFormat="1" ht="20" customHeight="1" x14ac:dyDescent="0.35">
      <c r="A186" s="16" t="s">
        <v>288</v>
      </c>
      <c r="B186" s="28">
        <v>46087</v>
      </c>
      <c r="C186" s="16" t="s">
        <v>39</v>
      </c>
      <c r="D186" s="16" t="s">
        <v>242</v>
      </c>
      <c r="E186" s="29">
        <v>46082</v>
      </c>
      <c r="F186" s="16" t="s">
        <v>65</v>
      </c>
      <c r="G186" s="16" t="s">
        <v>105</v>
      </c>
      <c r="H186" s="16">
        <v>18</v>
      </c>
      <c r="I186" s="16" t="s">
        <v>106</v>
      </c>
      <c r="J186" s="16" t="s">
        <v>99</v>
      </c>
      <c r="K186" s="16" t="s">
        <v>522</v>
      </c>
      <c r="L186" s="16" t="s">
        <v>103</v>
      </c>
      <c r="M186" s="16" t="s">
        <v>24</v>
      </c>
      <c r="N186" s="16">
        <v>0</v>
      </c>
      <c r="O186" s="16">
        <v>0</v>
      </c>
      <c r="P186" s="16">
        <v>0</v>
      </c>
      <c r="Q186" s="16">
        <f t="shared" si="10"/>
        <v>0</v>
      </c>
      <c r="R186" s="16">
        <f t="shared" si="11"/>
        <v>0</v>
      </c>
      <c r="S186" s="16">
        <f t="shared" si="12"/>
        <v>0</v>
      </c>
      <c r="T186" s="30">
        <f t="shared" si="13"/>
        <v>0</v>
      </c>
      <c r="U186" s="30">
        <f t="shared" si="14"/>
        <v>18000</v>
      </c>
    </row>
    <row r="187" spans="1:21" s="16" customFormat="1" ht="20" customHeight="1" x14ac:dyDescent="0.35">
      <c r="A187" s="16" t="s">
        <v>289</v>
      </c>
      <c r="B187" s="28">
        <v>46087</v>
      </c>
      <c r="C187" s="16" t="s">
        <v>39</v>
      </c>
      <c r="D187" s="16" t="s">
        <v>242</v>
      </c>
      <c r="E187" s="29">
        <v>46082</v>
      </c>
      <c r="F187" s="16" t="s">
        <v>26</v>
      </c>
      <c r="G187" s="16" t="s">
        <v>27</v>
      </c>
      <c r="H187" s="16">
        <v>20000</v>
      </c>
      <c r="I187" s="16" t="s">
        <v>28</v>
      </c>
      <c r="J187" s="16" t="s">
        <v>29</v>
      </c>
      <c r="K187" s="16" t="s">
        <v>522</v>
      </c>
      <c r="L187" s="16" t="s">
        <v>127</v>
      </c>
      <c r="M187" s="16" t="s">
        <v>24</v>
      </c>
      <c r="N187" s="16">
        <v>20000</v>
      </c>
      <c r="O187" s="16">
        <v>0</v>
      </c>
      <c r="P187" s="16">
        <v>0</v>
      </c>
      <c r="Q187" s="16">
        <f t="shared" si="10"/>
        <v>0</v>
      </c>
      <c r="R187" s="16">
        <f t="shared" si="11"/>
        <v>0</v>
      </c>
      <c r="S187" s="16">
        <f t="shared" si="12"/>
        <v>0</v>
      </c>
      <c r="T187" s="30">
        <f t="shared" si="13"/>
        <v>0</v>
      </c>
      <c r="U187" s="30">
        <f t="shared" si="14"/>
        <v>0</v>
      </c>
    </row>
    <row r="188" spans="1:21" s="16" customFormat="1" ht="20" customHeight="1" x14ac:dyDescent="0.35">
      <c r="A188" s="16" t="s">
        <v>290</v>
      </c>
      <c r="B188" s="28">
        <v>46087</v>
      </c>
      <c r="C188" s="16" t="s">
        <v>39</v>
      </c>
      <c r="D188" s="16" t="s">
        <v>242</v>
      </c>
      <c r="E188" s="29">
        <v>46082</v>
      </c>
      <c r="F188" s="16" t="s">
        <v>112</v>
      </c>
      <c r="G188" s="16" t="s">
        <v>113</v>
      </c>
      <c r="H188" s="16">
        <v>7</v>
      </c>
      <c r="I188" s="16" t="s">
        <v>114</v>
      </c>
      <c r="J188" s="16" t="s">
        <v>115</v>
      </c>
      <c r="K188" s="16" t="s">
        <v>522</v>
      </c>
      <c r="L188" s="16" t="s">
        <v>116</v>
      </c>
      <c r="M188" s="16" t="s">
        <v>24</v>
      </c>
      <c r="N188" s="16">
        <v>0</v>
      </c>
      <c r="O188" s="16">
        <v>7</v>
      </c>
      <c r="P188" s="16">
        <v>0</v>
      </c>
      <c r="Q188" s="16">
        <f t="shared" si="10"/>
        <v>0</v>
      </c>
      <c r="R188" s="16">
        <f t="shared" si="11"/>
        <v>0</v>
      </c>
      <c r="S188" s="16">
        <f t="shared" si="12"/>
        <v>0</v>
      </c>
      <c r="T188" s="30">
        <f t="shared" si="13"/>
        <v>0</v>
      </c>
      <c r="U188" s="30">
        <f t="shared" si="14"/>
        <v>0</v>
      </c>
    </row>
    <row r="189" spans="1:21" s="16" customFormat="1" ht="20" customHeight="1" x14ac:dyDescent="0.35">
      <c r="A189" s="16" t="s">
        <v>291</v>
      </c>
      <c r="B189" s="28">
        <v>46087</v>
      </c>
      <c r="C189" s="16" t="s">
        <v>39</v>
      </c>
      <c r="D189" s="16" t="s">
        <v>242</v>
      </c>
      <c r="E189" s="29">
        <v>46082</v>
      </c>
      <c r="F189" s="16" t="s">
        <v>112</v>
      </c>
      <c r="G189" s="16" t="s">
        <v>118</v>
      </c>
      <c r="H189" s="16">
        <v>5</v>
      </c>
      <c r="I189" s="16" t="s">
        <v>114</v>
      </c>
      <c r="J189" s="16" t="s">
        <v>115</v>
      </c>
      <c r="K189" s="16" t="s">
        <v>522</v>
      </c>
      <c r="L189" s="16" t="s">
        <v>119</v>
      </c>
      <c r="M189" s="16" t="s">
        <v>24</v>
      </c>
      <c r="N189" s="16">
        <v>0</v>
      </c>
      <c r="O189" s="16">
        <v>0</v>
      </c>
      <c r="P189" s="16">
        <v>5</v>
      </c>
      <c r="Q189" s="16">
        <f t="shared" si="10"/>
        <v>0</v>
      </c>
      <c r="R189" s="16">
        <f t="shared" si="11"/>
        <v>0</v>
      </c>
      <c r="S189" s="16">
        <f t="shared" si="12"/>
        <v>0</v>
      </c>
      <c r="T189" s="30">
        <f t="shared" si="13"/>
        <v>0</v>
      </c>
      <c r="U189" s="30">
        <f t="shared" si="14"/>
        <v>0</v>
      </c>
    </row>
    <row r="190" spans="1:21" s="16" customFormat="1" ht="20" customHeight="1" x14ac:dyDescent="0.35">
      <c r="A190" s="16" t="s">
        <v>292</v>
      </c>
      <c r="B190" s="28">
        <v>46088</v>
      </c>
      <c r="C190" s="16" t="s">
        <v>42</v>
      </c>
      <c r="D190" s="16" t="s">
        <v>242</v>
      </c>
      <c r="E190" s="29">
        <v>46082</v>
      </c>
      <c r="F190" s="16" t="s">
        <v>65</v>
      </c>
      <c r="G190" s="16" t="s">
        <v>139</v>
      </c>
      <c r="H190" s="16">
        <v>57</v>
      </c>
      <c r="I190" s="16" t="s">
        <v>21</v>
      </c>
      <c r="J190" s="16" t="s">
        <v>99</v>
      </c>
      <c r="K190" s="16" t="s">
        <v>522</v>
      </c>
      <c r="L190" s="16" t="s">
        <v>160</v>
      </c>
      <c r="M190" s="16" t="s">
        <v>24</v>
      </c>
      <c r="N190" s="16">
        <v>0</v>
      </c>
      <c r="O190" s="16">
        <v>0</v>
      </c>
      <c r="P190" s="16">
        <v>0</v>
      </c>
      <c r="Q190" s="16">
        <f t="shared" si="10"/>
        <v>0</v>
      </c>
      <c r="R190" s="16">
        <f t="shared" si="11"/>
        <v>0</v>
      </c>
      <c r="S190" s="16">
        <f t="shared" si="12"/>
        <v>0</v>
      </c>
      <c r="T190" s="30">
        <f t="shared" si="13"/>
        <v>57000</v>
      </c>
      <c r="U190" s="30">
        <f t="shared" si="14"/>
        <v>0</v>
      </c>
    </row>
    <row r="191" spans="1:21" s="16" customFormat="1" ht="20" customHeight="1" x14ac:dyDescent="0.35">
      <c r="A191" s="16" t="s">
        <v>293</v>
      </c>
      <c r="B191" s="28">
        <v>46088</v>
      </c>
      <c r="C191" s="16" t="s">
        <v>42</v>
      </c>
      <c r="D191" s="16" t="s">
        <v>242</v>
      </c>
      <c r="E191" s="29">
        <v>46082</v>
      </c>
      <c r="F191" s="16" t="s">
        <v>65</v>
      </c>
      <c r="G191" s="16" t="s">
        <v>102</v>
      </c>
      <c r="H191" s="16">
        <v>30</v>
      </c>
      <c r="I191" s="16" t="s">
        <v>84</v>
      </c>
      <c r="J191" s="16" t="s">
        <v>99</v>
      </c>
      <c r="K191" s="16" t="s">
        <v>522</v>
      </c>
      <c r="L191" s="16" t="s">
        <v>160</v>
      </c>
      <c r="M191" s="16" t="s">
        <v>24</v>
      </c>
      <c r="N191" s="16">
        <v>0</v>
      </c>
      <c r="O191" s="16">
        <v>0</v>
      </c>
      <c r="P191" s="16">
        <v>0</v>
      </c>
      <c r="Q191" s="16">
        <f t="shared" si="10"/>
        <v>0</v>
      </c>
      <c r="R191" s="16">
        <f t="shared" si="11"/>
        <v>0</v>
      </c>
      <c r="S191" s="16">
        <f t="shared" si="12"/>
        <v>0</v>
      </c>
      <c r="T191" s="30">
        <f t="shared" si="13"/>
        <v>0</v>
      </c>
      <c r="U191" s="30">
        <f t="shared" si="14"/>
        <v>0</v>
      </c>
    </row>
    <row r="192" spans="1:21" s="16" customFormat="1" ht="20" customHeight="1" x14ac:dyDescent="0.35">
      <c r="A192" s="16" t="s">
        <v>294</v>
      </c>
      <c r="B192" s="28">
        <v>46088</v>
      </c>
      <c r="C192" s="16" t="s">
        <v>42</v>
      </c>
      <c r="D192" s="16" t="s">
        <v>242</v>
      </c>
      <c r="E192" s="29">
        <v>46082</v>
      </c>
      <c r="F192" s="16" t="s">
        <v>65</v>
      </c>
      <c r="G192" s="16" t="s">
        <v>105</v>
      </c>
      <c r="H192" s="16">
        <v>22</v>
      </c>
      <c r="I192" s="16" t="s">
        <v>106</v>
      </c>
      <c r="J192" s="16" t="s">
        <v>99</v>
      </c>
      <c r="K192" s="16" t="s">
        <v>522</v>
      </c>
      <c r="L192" s="16" t="s">
        <v>160</v>
      </c>
      <c r="M192" s="16" t="s">
        <v>24</v>
      </c>
      <c r="N192" s="16">
        <v>0</v>
      </c>
      <c r="O192" s="16">
        <v>0</v>
      </c>
      <c r="P192" s="16">
        <v>0</v>
      </c>
      <c r="Q192" s="16">
        <f t="shared" si="10"/>
        <v>0</v>
      </c>
      <c r="R192" s="16">
        <f t="shared" si="11"/>
        <v>0</v>
      </c>
      <c r="S192" s="16">
        <f t="shared" si="12"/>
        <v>0</v>
      </c>
      <c r="T192" s="30">
        <f t="shared" si="13"/>
        <v>0</v>
      </c>
      <c r="U192" s="30">
        <f t="shared" si="14"/>
        <v>22000</v>
      </c>
    </row>
    <row r="193" spans="1:21" s="16" customFormat="1" ht="20" customHeight="1" x14ac:dyDescent="0.35">
      <c r="A193" s="16" t="s">
        <v>295</v>
      </c>
      <c r="B193" s="28">
        <v>46088</v>
      </c>
      <c r="C193" s="16" t="s">
        <v>42</v>
      </c>
      <c r="D193" s="16" t="s">
        <v>242</v>
      </c>
      <c r="E193" s="29">
        <v>46082</v>
      </c>
      <c r="F193" s="16" t="s">
        <v>26</v>
      </c>
      <c r="G193" s="16" t="s">
        <v>27</v>
      </c>
      <c r="H193" s="16">
        <v>16000</v>
      </c>
      <c r="I193" s="16" t="s">
        <v>28</v>
      </c>
      <c r="J193" s="16" t="s">
        <v>29</v>
      </c>
      <c r="K193" s="16" t="s">
        <v>522</v>
      </c>
      <c r="L193" s="16" t="s">
        <v>168</v>
      </c>
      <c r="M193" s="16" t="s">
        <v>24</v>
      </c>
      <c r="N193" s="16">
        <v>16000</v>
      </c>
      <c r="O193" s="16">
        <v>0</v>
      </c>
      <c r="P193" s="16">
        <v>0</v>
      </c>
      <c r="Q193" s="16">
        <f t="shared" si="10"/>
        <v>0</v>
      </c>
      <c r="R193" s="16">
        <f t="shared" si="11"/>
        <v>0</v>
      </c>
      <c r="S193" s="16">
        <f t="shared" si="12"/>
        <v>0</v>
      </c>
      <c r="T193" s="30">
        <f t="shared" si="13"/>
        <v>0</v>
      </c>
      <c r="U193" s="30">
        <f t="shared" si="14"/>
        <v>0</v>
      </c>
    </row>
    <row r="194" spans="1:21" s="16" customFormat="1" ht="20" customHeight="1" x14ac:dyDescent="0.35">
      <c r="A194" s="16" t="s">
        <v>296</v>
      </c>
      <c r="B194" s="28">
        <v>46088</v>
      </c>
      <c r="C194" s="16" t="s">
        <v>42</v>
      </c>
      <c r="D194" s="16" t="s">
        <v>242</v>
      </c>
      <c r="E194" s="29">
        <v>46082</v>
      </c>
      <c r="F194" s="16" t="s">
        <v>112</v>
      </c>
      <c r="G194" s="16" t="s">
        <v>113</v>
      </c>
      <c r="H194" s="16">
        <v>7</v>
      </c>
      <c r="I194" s="16" t="s">
        <v>114</v>
      </c>
      <c r="J194" s="16" t="s">
        <v>115</v>
      </c>
      <c r="K194" s="16" t="s">
        <v>522</v>
      </c>
      <c r="L194" s="16" t="s">
        <v>116</v>
      </c>
      <c r="M194" s="16" t="s">
        <v>24</v>
      </c>
      <c r="N194" s="16">
        <v>0</v>
      </c>
      <c r="O194" s="16">
        <v>7</v>
      </c>
      <c r="P194" s="16">
        <v>0</v>
      </c>
      <c r="Q194" s="16">
        <f t="shared" ref="Q194:Q257" si="15">IF(AND(OR(F194="Work",F194="Adjustment"),OR(ISNUMBER(SEARCH("Excavation",G194)),G194="Excavation Repair")),IF(K194="Chairman Street",800,IF(K194="INEC Street",1000,0)),0)</f>
        <v>0</v>
      </c>
      <c r="R194" s="16">
        <f t="shared" ref="R194:R257" si="16">IF(AND(OR(F194="Work", F194="Adjustment"), OR(ISNUMBER(SEARCH("Excavation", G194)), G194="Excavation Repair")), H194 * IF(K194="Site A", 800, IF(K194="Site B", 1000, 0)), 0)</f>
        <v>0</v>
      </c>
      <c r="S194" s="16">
        <f t="shared" ref="S194:S257" si="17">IF(G194="Base Casting",H194*500,0)</f>
        <v>0</v>
      </c>
      <c r="T194" s="30">
        <f t="shared" ref="T194:T257" si="18">IF(G194="Wall Casting",H194*1000,0)</f>
        <v>0</v>
      </c>
      <c r="U194" s="30">
        <f t="shared" ref="U194:U257" si="19">IF(G194="Water Supply",H194*1000,0)</f>
        <v>0</v>
      </c>
    </row>
    <row r="195" spans="1:21" s="16" customFormat="1" ht="20" customHeight="1" x14ac:dyDescent="0.35">
      <c r="A195" s="16" t="s">
        <v>297</v>
      </c>
      <c r="B195" s="28">
        <v>46088</v>
      </c>
      <c r="C195" s="16" t="s">
        <v>42</v>
      </c>
      <c r="D195" s="16" t="s">
        <v>242</v>
      </c>
      <c r="E195" s="29">
        <v>46082</v>
      </c>
      <c r="F195" s="16" t="s">
        <v>112</v>
      </c>
      <c r="G195" s="16" t="s">
        <v>118</v>
      </c>
      <c r="H195" s="16">
        <v>5</v>
      </c>
      <c r="I195" s="16" t="s">
        <v>114</v>
      </c>
      <c r="J195" s="16" t="s">
        <v>115</v>
      </c>
      <c r="K195" s="16" t="s">
        <v>522</v>
      </c>
      <c r="L195" s="16" t="s">
        <v>119</v>
      </c>
      <c r="M195" s="16" t="s">
        <v>24</v>
      </c>
      <c r="N195" s="16">
        <v>0</v>
      </c>
      <c r="O195" s="16">
        <v>0</v>
      </c>
      <c r="P195" s="16">
        <v>5</v>
      </c>
      <c r="Q195" s="16">
        <f t="shared" si="15"/>
        <v>0</v>
      </c>
      <c r="R195" s="16">
        <f t="shared" si="16"/>
        <v>0</v>
      </c>
      <c r="S195" s="16">
        <f t="shared" si="17"/>
        <v>0</v>
      </c>
      <c r="T195" s="30">
        <f t="shared" si="18"/>
        <v>0</v>
      </c>
      <c r="U195" s="30">
        <f t="shared" si="19"/>
        <v>0</v>
      </c>
    </row>
    <row r="196" spans="1:21" s="16" customFormat="1" ht="20" customHeight="1" x14ac:dyDescent="0.35">
      <c r="A196" s="16" t="s">
        <v>298</v>
      </c>
      <c r="B196" s="28">
        <v>46089</v>
      </c>
      <c r="C196" s="16" t="s">
        <v>45</v>
      </c>
      <c r="D196" s="16" t="s">
        <v>242</v>
      </c>
      <c r="E196" s="29">
        <v>46082</v>
      </c>
      <c r="F196" s="16" t="s">
        <v>65</v>
      </c>
      <c r="G196" s="16" t="s">
        <v>139</v>
      </c>
      <c r="H196" s="16">
        <v>63</v>
      </c>
      <c r="I196" s="16" t="s">
        <v>21</v>
      </c>
      <c r="J196" s="16" t="s">
        <v>99</v>
      </c>
      <c r="K196" s="16" t="s">
        <v>522</v>
      </c>
      <c r="L196" s="16" t="s">
        <v>160</v>
      </c>
      <c r="M196" s="16" t="s">
        <v>24</v>
      </c>
      <c r="N196" s="16">
        <v>0</v>
      </c>
      <c r="O196" s="16">
        <v>0</v>
      </c>
      <c r="P196" s="16">
        <v>0</v>
      </c>
      <c r="Q196" s="16">
        <f t="shared" si="15"/>
        <v>0</v>
      </c>
      <c r="R196" s="16">
        <f t="shared" si="16"/>
        <v>0</v>
      </c>
      <c r="S196" s="16">
        <f t="shared" si="17"/>
        <v>0</v>
      </c>
      <c r="T196" s="30">
        <f t="shared" si="18"/>
        <v>63000</v>
      </c>
      <c r="U196" s="30">
        <f t="shared" si="19"/>
        <v>0</v>
      </c>
    </row>
    <row r="197" spans="1:21" s="16" customFormat="1" ht="20" customHeight="1" x14ac:dyDescent="0.35">
      <c r="A197" s="16" t="s">
        <v>299</v>
      </c>
      <c r="B197" s="28">
        <v>46089</v>
      </c>
      <c r="C197" s="16" t="s">
        <v>45</v>
      </c>
      <c r="D197" s="16" t="s">
        <v>242</v>
      </c>
      <c r="E197" s="29">
        <v>46082</v>
      </c>
      <c r="F197" s="16" t="s">
        <v>65</v>
      </c>
      <c r="G197" s="16" t="s">
        <v>102</v>
      </c>
      <c r="H197" s="16">
        <v>30.5</v>
      </c>
      <c r="I197" s="16" t="s">
        <v>84</v>
      </c>
      <c r="J197" s="16" t="s">
        <v>99</v>
      </c>
      <c r="K197" s="16" t="s">
        <v>522</v>
      </c>
      <c r="L197" s="16" t="s">
        <v>160</v>
      </c>
      <c r="M197" s="16" t="s">
        <v>24</v>
      </c>
      <c r="N197" s="16">
        <v>0</v>
      </c>
      <c r="O197" s="16">
        <v>0</v>
      </c>
      <c r="P197" s="16">
        <v>0</v>
      </c>
      <c r="Q197" s="16">
        <f t="shared" si="15"/>
        <v>0</v>
      </c>
      <c r="R197" s="16">
        <f t="shared" si="16"/>
        <v>0</v>
      </c>
      <c r="S197" s="16">
        <f t="shared" si="17"/>
        <v>0</v>
      </c>
      <c r="T197" s="30">
        <f t="shared" si="18"/>
        <v>0</v>
      </c>
      <c r="U197" s="30">
        <f t="shared" si="19"/>
        <v>0</v>
      </c>
    </row>
    <row r="198" spans="1:21" s="16" customFormat="1" ht="20" customHeight="1" x14ac:dyDescent="0.35">
      <c r="A198" s="16" t="s">
        <v>300</v>
      </c>
      <c r="B198" s="28">
        <v>46089</v>
      </c>
      <c r="C198" s="16" t="s">
        <v>45</v>
      </c>
      <c r="D198" s="16" t="s">
        <v>242</v>
      </c>
      <c r="E198" s="29">
        <v>46082</v>
      </c>
      <c r="F198" s="16" t="s">
        <v>65</v>
      </c>
      <c r="G198" s="16" t="s">
        <v>105</v>
      </c>
      <c r="H198" s="16">
        <v>21</v>
      </c>
      <c r="I198" s="16" t="s">
        <v>106</v>
      </c>
      <c r="J198" s="16" t="s">
        <v>99</v>
      </c>
      <c r="K198" s="16" t="s">
        <v>522</v>
      </c>
      <c r="L198" s="16" t="s">
        <v>160</v>
      </c>
      <c r="M198" s="16" t="s">
        <v>24</v>
      </c>
      <c r="N198" s="16">
        <v>0</v>
      </c>
      <c r="O198" s="16">
        <v>0</v>
      </c>
      <c r="P198" s="16">
        <v>0</v>
      </c>
      <c r="Q198" s="16">
        <f t="shared" si="15"/>
        <v>0</v>
      </c>
      <c r="R198" s="16">
        <f t="shared" si="16"/>
        <v>0</v>
      </c>
      <c r="S198" s="16">
        <f t="shared" si="17"/>
        <v>0</v>
      </c>
      <c r="T198" s="30">
        <f t="shared" si="18"/>
        <v>0</v>
      </c>
      <c r="U198" s="30">
        <f t="shared" si="19"/>
        <v>21000</v>
      </c>
    </row>
    <row r="199" spans="1:21" s="16" customFormat="1" ht="20" customHeight="1" x14ac:dyDescent="0.35">
      <c r="A199" s="16" t="s">
        <v>301</v>
      </c>
      <c r="B199" s="28">
        <v>46089</v>
      </c>
      <c r="C199" s="16" t="s">
        <v>45</v>
      </c>
      <c r="D199" s="16" t="s">
        <v>242</v>
      </c>
      <c r="E199" s="29">
        <v>46082</v>
      </c>
      <c r="F199" s="16" t="s">
        <v>26</v>
      </c>
      <c r="G199" s="16" t="s">
        <v>27</v>
      </c>
      <c r="H199" s="16">
        <v>18000</v>
      </c>
      <c r="I199" s="16" t="s">
        <v>28</v>
      </c>
      <c r="J199" s="16" t="s">
        <v>29</v>
      </c>
      <c r="K199" s="16" t="s">
        <v>522</v>
      </c>
      <c r="L199" s="16" t="s">
        <v>168</v>
      </c>
      <c r="M199" s="16" t="s">
        <v>24</v>
      </c>
      <c r="N199" s="16">
        <v>18000</v>
      </c>
      <c r="O199" s="16">
        <v>0</v>
      </c>
      <c r="P199" s="16">
        <v>0</v>
      </c>
      <c r="Q199" s="16">
        <f t="shared" si="15"/>
        <v>0</v>
      </c>
      <c r="R199" s="16">
        <f t="shared" si="16"/>
        <v>0</v>
      </c>
      <c r="S199" s="16">
        <f t="shared" si="17"/>
        <v>0</v>
      </c>
      <c r="T199" s="30">
        <f t="shared" si="18"/>
        <v>0</v>
      </c>
      <c r="U199" s="30">
        <f t="shared" si="19"/>
        <v>0</v>
      </c>
    </row>
    <row r="200" spans="1:21" s="16" customFormat="1" ht="20" customHeight="1" x14ac:dyDescent="0.35">
      <c r="A200" s="16" t="s">
        <v>303</v>
      </c>
      <c r="B200" s="28">
        <v>46089</v>
      </c>
      <c r="C200" s="16" t="s">
        <v>45</v>
      </c>
      <c r="D200" s="16" t="s">
        <v>242</v>
      </c>
      <c r="E200" s="29">
        <v>46082</v>
      </c>
      <c r="F200" s="16" t="s">
        <v>112</v>
      </c>
      <c r="G200" s="16" t="s">
        <v>113</v>
      </c>
      <c r="H200" s="16">
        <v>7</v>
      </c>
      <c r="I200" s="16" t="s">
        <v>114</v>
      </c>
      <c r="J200" s="16" t="s">
        <v>115</v>
      </c>
      <c r="K200" s="16" t="s">
        <v>522</v>
      </c>
      <c r="L200" s="16" t="s">
        <v>116</v>
      </c>
      <c r="M200" s="16" t="s">
        <v>24</v>
      </c>
      <c r="N200" s="16">
        <v>0</v>
      </c>
      <c r="O200" s="16">
        <v>7</v>
      </c>
      <c r="P200" s="16">
        <v>0</v>
      </c>
      <c r="Q200" s="16">
        <f t="shared" si="15"/>
        <v>0</v>
      </c>
      <c r="R200" s="16">
        <f t="shared" si="16"/>
        <v>0</v>
      </c>
      <c r="S200" s="16">
        <f t="shared" si="17"/>
        <v>0</v>
      </c>
      <c r="T200" s="30">
        <f t="shared" si="18"/>
        <v>0</v>
      </c>
      <c r="U200" s="30">
        <f t="shared" si="19"/>
        <v>0</v>
      </c>
    </row>
    <row r="201" spans="1:21" s="16" customFormat="1" ht="20" customHeight="1" x14ac:dyDescent="0.35">
      <c r="A201" s="16" t="s">
        <v>305</v>
      </c>
      <c r="B201" s="28">
        <v>46089</v>
      </c>
      <c r="C201" s="16" t="s">
        <v>45</v>
      </c>
      <c r="D201" s="16" t="s">
        <v>242</v>
      </c>
      <c r="E201" s="29">
        <v>46082</v>
      </c>
      <c r="F201" s="16" t="s">
        <v>112</v>
      </c>
      <c r="G201" s="16" t="s">
        <v>118</v>
      </c>
      <c r="H201" s="16">
        <v>5</v>
      </c>
      <c r="I201" s="16" t="s">
        <v>114</v>
      </c>
      <c r="J201" s="16" t="s">
        <v>115</v>
      </c>
      <c r="K201" s="16" t="s">
        <v>522</v>
      </c>
      <c r="L201" s="16" t="s">
        <v>119</v>
      </c>
      <c r="M201" s="16" t="s">
        <v>24</v>
      </c>
      <c r="N201" s="16">
        <v>0</v>
      </c>
      <c r="O201" s="16">
        <v>0</v>
      </c>
      <c r="P201" s="16">
        <v>5</v>
      </c>
      <c r="Q201" s="16">
        <f t="shared" si="15"/>
        <v>0</v>
      </c>
      <c r="R201" s="16">
        <f t="shared" si="16"/>
        <v>0</v>
      </c>
      <c r="S201" s="16">
        <f t="shared" si="17"/>
        <v>0</v>
      </c>
      <c r="T201" s="30">
        <f t="shared" si="18"/>
        <v>0</v>
      </c>
      <c r="U201" s="30">
        <f t="shared" si="19"/>
        <v>0</v>
      </c>
    </row>
    <row r="202" spans="1:21" s="16" customFormat="1" ht="20" customHeight="1" x14ac:dyDescent="0.35">
      <c r="A202" s="16" t="s">
        <v>306</v>
      </c>
      <c r="B202" s="28">
        <v>46090</v>
      </c>
      <c r="C202" s="16" t="s">
        <v>50</v>
      </c>
      <c r="D202" s="16" t="s">
        <v>302</v>
      </c>
      <c r="E202" s="29">
        <v>46082</v>
      </c>
      <c r="F202" s="16" t="s">
        <v>19</v>
      </c>
      <c r="G202" s="16" t="s">
        <v>60</v>
      </c>
      <c r="H202" s="16">
        <v>35</v>
      </c>
      <c r="I202" s="16" t="s">
        <v>21</v>
      </c>
      <c r="J202" s="16" t="s">
        <v>22</v>
      </c>
      <c r="K202" s="16" t="s">
        <v>522</v>
      </c>
      <c r="L202" s="16" t="s">
        <v>61</v>
      </c>
      <c r="M202" s="16" t="s">
        <v>24</v>
      </c>
      <c r="N202" s="16">
        <v>0</v>
      </c>
      <c r="O202" s="16">
        <v>0</v>
      </c>
      <c r="P202" s="16">
        <v>0</v>
      </c>
      <c r="Q202" s="16">
        <f t="shared" si="15"/>
        <v>0</v>
      </c>
      <c r="R202" s="16">
        <f t="shared" si="16"/>
        <v>35000</v>
      </c>
      <c r="S202" s="16">
        <f t="shared" si="17"/>
        <v>0</v>
      </c>
      <c r="T202" s="30">
        <f t="shared" si="18"/>
        <v>0</v>
      </c>
      <c r="U202" s="30">
        <f t="shared" si="19"/>
        <v>0</v>
      </c>
    </row>
    <row r="203" spans="1:21" s="16" customFormat="1" ht="20" customHeight="1" x14ac:dyDescent="0.35">
      <c r="A203" s="16" t="s">
        <v>307</v>
      </c>
      <c r="B203" s="28">
        <v>46090</v>
      </c>
      <c r="C203" s="16" t="s">
        <v>50</v>
      </c>
      <c r="D203" s="16" t="s">
        <v>302</v>
      </c>
      <c r="E203" s="29">
        <v>46082</v>
      </c>
      <c r="F203" s="16" t="s">
        <v>19</v>
      </c>
      <c r="G203" s="16" t="s">
        <v>20</v>
      </c>
      <c r="H203" s="16">
        <v>13</v>
      </c>
      <c r="I203" s="16" t="s">
        <v>21</v>
      </c>
      <c r="J203" s="16" t="s">
        <v>22</v>
      </c>
      <c r="K203" s="16" t="s">
        <v>522</v>
      </c>
      <c r="L203" s="16" t="s">
        <v>304</v>
      </c>
      <c r="M203" s="16" t="s">
        <v>24</v>
      </c>
      <c r="N203" s="16">
        <v>0</v>
      </c>
      <c r="O203" s="16">
        <v>0</v>
      </c>
      <c r="P203" s="16">
        <v>0</v>
      </c>
      <c r="Q203" s="16">
        <f t="shared" si="15"/>
        <v>0</v>
      </c>
      <c r="R203" s="16">
        <f t="shared" si="16"/>
        <v>13000</v>
      </c>
      <c r="S203" s="16">
        <f t="shared" si="17"/>
        <v>0</v>
      </c>
      <c r="T203" s="30">
        <f t="shared" si="18"/>
        <v>0</v>
      </c>
      <c r="U203" s="30">
        <f t="shared" si="19"/>
        <v>0</v>
      </c>
    </row>
    <row r="204" spans="1:21" s="16" customFormat="1" ht="20" customHeight="1" x14ac:dyDescent="0.35">
      <c r="A204" s="16" t="s">
        <v>308</v>
      </c>
      <c r="B204" s="28">
        <v>46090</v>
      </c>
      <c r="C204" s="16" t="s">
        <v>50</v>
      </c>
      <c r="D204" s="16" t="s">
        <v>302</v>
      </c>
      <c r="E204" s="29">
        <v>46082</v>
      </c>
      <c r="F204" s="16" t="s">
        <v>65</v>
      </c>
      <c r="G204" s="16" t="s">
        <v>139</v>
      </c>
      <c r="H204" s="16">
        <v>60.8</v>
      </c>
      <c r="I204" s="16" t="s">
        <v>21</v>
      </c>
      <c r="J204" s="16" t="s">
        <v>99</v>
      </c>
      <c r="K204" s="16" t="s">
        <v>522</v>
      </c>
      <c r="L204" s="16" t="s">
        <v>160</v>
      </c>
      <c r="M204" s="16" t="s">
        <v>24</v>
      </c>
      <c r="N204" s="16">
        <v>0</v>
      </c>
      <c r="O204" s="16">
        <v>0</v>
      </c>
      <c r="P204" s="16">
        <v>0</v>
      </c>
      <c r="Q204" s="16">
        <f t="shared" si="15"/>
        <v>0</v>
      </c>
      <c r="R204" s="16">
        <f t="shared" si="16"/>
        <v>0</v>
      </c>
      <c r="S204" s="16">
        <f t="shared" si="17"/>
        <v>0</v>
      </c>
      <c r="T204" s="30">
        <f t="shared" si="18"/>
        <v>60800</v>
      </c>
      <c r="U204" s="30">
        <f t="shared" si="19"/>
        <v>0</v>
      </c>
    </row>
    <row r="205" spans="1:21" s="16" customFormat="1" ht="20" customHeight="1" x14ac:dyDescent="0.35">
      <c r="A205" s="16" t="s">
        <v>309</v>
      </c>
      <c r="B205" s="28">
        <v>46090</v>
      </c>
      <c r="C205" s="16" t="s">
        <v>50</v>
      </c>
      <c r="D205" s="16" t="s">
        <v>302</v>
      </c>
      <c r="E205" s="29">
        <v>46082</v>
      </c>
      <c r="F205" s="16" t="s">
        <v>65</v>
      </c>
      <c r="G205" s="16" t="s">
        <v>102</v>
      </c>
      <c r="H205" s="16">
        <v>28.5</v>
      </c>
      <c r="I205" s="16" t="s">
        <v>84</v>
      </c>
      <c r="J205" s="16" t="s">
        <v>99</v>
      </c>
      <c r="K205" s="16" t="s">
        <v>522</v>
      </c>
      <c r="L205" s="16" t="s">
        <v>160</v>
      </c>
      <c r="M205" s="16" t="s">
        <v>24</v>
      </c>
      <c r="N205" s="16">
        <v>0</v>
      </c>
      <c r="O205" s="16">
        <v>0</v>
      </c>
      <c r="P205" s="16">
        <v>0</v>
      </c>
      <c r="Q205" s="16">
        <f t="shared" si="15"/>
        <v>0</v>
      </c>
      <c r="R205" s="16">
        <f t="shared" si="16"/>
        <v>0</v>
      </c>
      <c r="S205" s="16">
        <f t="shared" si="17"/>
        <v>0</v>
      </c>
      <c r="T205" s="30">
        <f t="shared" si="18"/>
        <v>0</v>
      </c>
      <c r="U205" s="30">
        <f t="shared" si="19"/>
        <v>0</v>
      </c>
    </row>
    <row r="206" spans="1:21" s="16" customFormat="1" ht="20" customHeight="1" x14ac:dyDescent="0.35">
      <c r="A206" s="16" t="s">
        <v>310</v>
      </c>
      <c r="B206" s="28">
        <v>46090</v>
      </c>
      <c r="C206" s="16" t="s">
        <v>50</v>
      </c>
      <c r="D206" s="16" t="s">
        <v>302</v>
      </c>
      <c r="E206" s="29">
        <v>46082</v>
      </c>
      <c r="F206" s="16" t="s">
        <v>65</v>
      </c>
      <c r="G206" s="16" t="s">
        <v>105</v>
      </c>
      <c r="H206" s="16">
        <v>18</v>
      </c>
      <c r="I206" s="16" t="s">
        <v>106</v>
      </c>
      <c r="J206" s="16" t="s">
        <v>99</v>
      </c>
      <c r="K206" s="16" t="s">
        <v>522</v>
      </c>
      <c r="L206" s="16" t="s">
        <v>160</v>
      </c>
      <c r="M206" s="16" t="s">
        <v>24</v>
      </c>
      <c r="N206" s="16">
        <v>0</v>
      </c>
      <c r="O206" s="16">
        <v>0</v>
      </c>
      <c r="P206" s="16">
        <v>0</v>
      </c>
      <c r="Q206" s="16">
        <f t="shared" si="15"/>
        <v>0</v>
      </c>
      <c r="R206" s="16">
        <f t="shared" si="16"/>
        <v>0</v>
      </c>
      <c r="S206" s="16">
        <f t="shared" si="17"/>
        <v>0</v>
      </c>
      <c r="T206" s="30">
        <f t="shared" si="18"/>
        <v>0</v>
      </c>
      <c r="U206" s="30">
        <f t="shared" si="19"/>
        <v>18000</v>
      </c>
    </row>
    <row r="207" spans="1:21" s="16" customFormat="1" ht="20" customHeight="1" x14ac:dyDescent="0.35">
      <c r="A207" s="16" t="s">
        <v>311</v>
      </c>
      <c r="B207" s="28">
        <v>46090</v>
      </c>
      <c r="C207" s="16" t="s">
        <v>50</v>
      </c>
      <c r="D207" s="16" t="s">
        <v>302</v>
      </c>
      <c r="E207" s="29">
        <v>46082</v>
      </c>
      <c r="F207" s="16" t="s">
        <v>65</v>
      </c>
      <c r="G207" s="16" t="s">
        <v>153</v>
      </c>
      <c r="H207" s="16">
        <v>3</v>
      </c>
      <c r="I207" s="16" t="s">
        <v>106</v>
      </c>
      <c r="J207" s="16" t="s">
        <v>99</v>
      </c>
      <c r="K207" s="16" t="s">
        <v>522</v>
      </c>
      <c r="L207" s="16" t="s">
        <v>248</v>
      </c>
      <c r="M207" s="16" t="s">
        <v>24</v>
      </c>
      <c r="N207" s="16">
        <v>0</v>
      </c>
      <c r="O207" s="16">
        <v>0</v>
      </c>
      <c r="P207" s="16">
        <v>0</v>
      </c>
      <c r="Q207" s="16">
        <f t="shared" si="15"/>
        <v>0</v>
      </c>
      <c r="R207" s="16">
        <f t="shared" si="16"/>
        <v>0</v>
      </c>
      <c r="S207" s="16">
        <f t="shared" si="17"/>
        <v>0</v>
      </c>
      <c r="T207" s="30">
        <f t="shared" si="18"/>
        <v>0</v>
      </c>
      <c r="U207" s="30">
        <f t="shared" si="19"/>
        <v>0</v>
      </c>
    </row>
    <row r="208" spans="1:21" s="16" customFormat="1" ht="20" customHeight="1" x14ac:dyDescent="0.35">
      <c r="A208" s="16" t="s">
        <v>312</v>
      </c>
      <c r="B208" s="28">
        <v>46090</v>
      </c>
      <c r="C208" s="16" t="s">
        <v>50</v>
      </c>
      <c r="D208" s="16" t="s">
        <v>302</v>
      </c>
      <c r="E208" s="29">
        <v>46082</v>
      </c>
      <c r="F208" s="16" t="s">
        <v>26</v>
      </c>
      <c r="G208" s="16" t="s">
        <v>27</v>
      </c>
      <c r="H208" s="16">
        <v>16000</v>
      </c>
      <c r="I208" s="16" t="s">
        <v>28</v>
      </c>
      <c r="J208" s="16" t="s">
        <v>29</v>
      </c>
      <c r="K208" s="16" t="s">
        <v>522</v>
      </c>
      <c r="L208" s="16" t="s">
        <v>168</v>
      </c>
      <c r="M208" s="16" t="s">
        <v>24</v>
      </c>
      <c r="N208" s="16">
        <v>16000</v>
      </c>
      <c r="O208" s="16">
        <v>0</v>
      </c>
      <c r="P208" s="16">
        <v>0</v>
      </c>
      <c r="Q208" s="16">
        <f t="shared" si="15"/>
        <v>0</v>
      </c>
      <c r="R208" s="16">
        <f t="shared" si="16"/>
        <v>0</v>
      </c>
      <c r="S208" s="16">
        <f t="shared" si="17"/>
        <v>0</v>
      </c>
      <c r="T208" s="30">
        <f t="shared" si="18"/>
        <v>0</v>
      </c>
      <c r="U208" s="30">
        <f t="shared" si="19"/>
        <v>0</v>
      </c>
    </row>
    <row r="209" spans="1:21" s="16" customFormat="1" ht="20" customHeight="1" x14ac:dyDescent="0.35">
      <c r="A209" s="16" t="s">
        <v>313</v>
      </c>
      <c r="B209" s="28">
        <v>46090</v>
      </c>
      <c r="C209" s="16" t="s">
        <v>50</v>
      </c>
      <c r="D209" s="16" t="s">
        <v>302</v>
      </c>
      <c r="E209" s="29">
        <v>46082</v>
      </c>
      <c r="F209" s="16" t="s">
        <v>112</v>
      </c>
      <c r="G209" s="16" t="s">
        <v>113</v>
      </c>
      <c r="H209" s="16">
        <v>7</v>
      </c>
      <c r="I209" s="16" t="s">
        <v>114</v>
      </c>
      <c r="J209" s="16" t="s">
        <v>115</v>
      </c>
      <c r="K209" s="16" t="s">
        <v>522</v>
      </c>
      <c r="L209" s="16" t="s">
        <v>116</v>
      </c>
      <c r="M209" s="16" t="s">
        <v>24</v>
      </c>
      <c r="N209" s="16">
        <v>0</v>
      </c>
      <c r="O209" s="16">
        <v>7</v>
      </c>
      <c r="P209" s="16">
        <v>0</v>
      </c>
      <c r="Q209" s="16">
        <f t="shared" si="15"/>
        <v>0</v>
      </c>
      <c r="R209" s="16">
        <f t="shared" si="16"/>
        <v>0</v>
      </c>
      <c r="S209" s="16">
        <f t="shared" si="17"/>
        <v>0</v>
      </c>
      <c r="T209" s="30">
        <f t="shared" si="18"/>
        <v>0</v>
      </c>
      <c r="U209" s="30">
        <f t="shared" si="19"/>
        <v>0</v>
      </c>
    </row>
    <row r="210" spans="1:21" s="16" customFormat="1" ht="20" customHeight="1" x14ac:dyDescent="0.35">
      <c r="A210" s="16" t="s">
        <v>314</v>
      </c>
      <c r="B210" s="28">
        <v>46090</v>
      </c>
      <c r="C210" s="16" t="s">
        <v>50</v>
      </c>
      <c r="D210" s="16" t="s">
        <v>302</v>
      </c>
      <c r="E210" s="29">
        <v>46082</v>
      </c>
      <c r="F210" s="16" t="s">
        <v>112</v>
      </c>
      <c r="G210" s="16" t="s">
        <v>118</v>
      </c>
      <c r="H210" s="16">
        <v>5</v>
      </c>
      <c r="I210" s="16" t="s">
        <v>114</v>
      </c>
      <c r="J210" s="16" t="s">
        <v>115</v>
      </c>
      <c r="K210" s="16" t="s">
        <v>522</v>
      </c>
      <c r="L210" s="16" t="s">
        <v>119</v>
      </c>
      <c r="M210" s="16" t="s">
        <v>24</v>
      </c>
      <c r="N210" s="16">
        <v>0</v>
      </c>
      <c r="O210" s="16">
        <v>0</v>
      </c>
      <c r="P210" s="16">
        <v>5</v>
      </c>
      <c r="Q210" s="16">
        <f t="shared" si="15"/>
        <v>0</v>
      </c>
      <c r="R210" s="16">
        <f t="shared" si="16"/>
        <v>0</v>
      </c>
      <c r="S210" s="16">
        <f t="shared" si="17"/>
        <v>0</v>
      </c>
      <c r="T210" s="30">
        <f t="shared" si="18"/>
        <v>0</v>
      </c>
      <c r="U210" s="30">
        <f t="shared" si="19"/>
        <v>0</v>
      </c>
    </row>
    <row r="211" spans="1:21" s="16" customFormat="1" ht="20" customHeight="1" x14ac:dyDescent="0.35">
      <c r="A211" s="16" t="s">
        <v>316</v>
      </c>
      <c r="B211" s="28">
        <v>46091</v>
      </c>
      <c r="C211" s="16" t="s">
        <v>17</v>
      </c>
      <c r="D211" s="16" t="s">
        <v>302</v>
      </c>
      <c r="E211" s="29">
        <v>46082</v>
      </c>
      <c r="F211" s="16" t="s">
        <v>65</v>
      </c>
      <c r="G211" s="16" t="s">
        <v>98</v>
      </c>
      <c r="H211" s="16">
        <v>47</v>
      </c>
      <c r="I211" s="16" t="s">
        <v>21</v>
      </c>
      <c r="J211" s="16" t="s">
        <v>99</v>
      </c>
      <c r="K211" s="16" t="s">
        <v>522</v>
      </c>
      <c r="L211" s="16" t="s">
        <v>100</v>
      </c>
      <c r="M211" s="16" t="s">
        <v>24</v>
      </c>
      <c r="N211" s="16">
        <v>0</v>
      </c>
      <c r="O211" s="16">
        <v>0</v>
      </c>
      <c r="P211" s="16">
        <v>0</v>
      </c>
      <c r="Q211" s="16">
        <f t="shared" si="15"/>
        <v>0</v>
      </c>
      <c r="R211" s="16">
        <f t="shared" si="16"/>
        <v>0</v>
      </c>
      <c r="S211" s="16">
        <f t="shared" si="17"/>
        <v>23500</v>
      </c>
      <c r="T211" s="30">
        <f t="shared" si="18"/>
        <v>0</v>
      </c>
      <c r="U211" s="30">
        <f t="shared" si="19"/>
        <v>0</v>
      </c>
    </row>
    <row r="212" spans="1:21" s="16" customFormat="1" ht="20" customHeight="1" x14ac:dyDescent="0.35">
      <c r="A212" s="16" t="s">
        <v>317</v>
      </c>
      <c r="B212" s="28">
        <v>46091</v>
      </c>
      <c r="C212" s="16" t="s">
        <v>17</v>
      </c>
      <c r="D212" s="16" t="s">
        <v>302</v>
      </c>
      <c r="E212" s="29">
        <v>46082</v>
      </c>
      <c r="F212" s="16" t="s">
        <v>65</v>
      </c>
      <c r="G212" s="16" t="s">
        <v>139</v>
      </c>
      <c r="H212" s="16">
        <v>31.1</v>
      </c>
      <c r="I212" s="16" t="s">
        <v>21</v>
      </c>
      <c r="J212" s="16" t="s">
        <v>99</v>
      </c>
      <c r="K212" s="16" t="s">
        <v>522</v>
      </c>
      <c r="L212" s="16" t="s">
        <v>160</v>
      </c>
      <c r="M212" s="16" t="s">
        <v>24</v>
      </c>
      <c r="N212" s="16">
        <v>0</v>
      </c>
      <c r="O212" s="16">
        <v>0</v>
      </c>
      <c r="P212" s="16">
        <v>0</v>
      </c>
      <c r="Q212" s="16">
        <f t="shared" si="15"/>
        <v>0</v>
      </c>
      <c r="R212" s="16">
        <f t="shared" si="16"/>
        <v>0</v>
      </c>
      <c r="S212" s="16">
        <f t="shared" si="17"/>
        <v>0</v>
      </c>
      <c r="T212" s="30">
        <f t="shared" si="18"/>
        <v>31100</v>
      </c>
      <c r="U212" s="30">
        <f t="shared" si="19"/>
        <v>0</v>
      </c>
    </row>
    <row r="213" spans="1:21" s="16" customFormat="1" ht="20" customHeight="1" x14ac:dyDescent="0.35">
      <c r="A213" s="16" t="s">
        <v>318</v>
      </c>
      <c r="B213" s="28">
        <v>46091</v>
      </c>
      <c r="C213" s="16" t="s">
        <v>17</v>
      </c>
      <c r="D213" s="16" t="s">
        <v>302</v>
      </c>
      <c r="E213" s="29">
        <v>46082</v>
      </c>
      <c r="F213" s="16" t="s">
        <v>65</v>
      </c>
      <c r="G213" s="16" t="s">
        <v>102</v>
      </c>
      <c r="H213" s="16">
        <v>27.5</v>
      </c>
      <c r="I213" s="16" t="s">
        <v>84</v>
      </c>
      <c r="J213" s="16" t="s">
        <v>99</v>
      </c>
      <c r="K213" s="16" t="s">
        <v>522</v>
      </c>
      <c r="L213" s="16" t="s">
        <v>315</v>
      </c>
      <c r="M213" s="16" t="s">
        <v>24</v>
      </c>
      <c r="N213" s="16">
        <v>0</v>
      </c>
      <c r="O213" s="16">
        <v>0</v>
      </c>
      <c r="P213" s="16">
        <v>0</v>
      </c>
      <c r="Q213" s="16">
        <f t="shared" si="15"/>
        <v>0</v>
      </c>
      <c r="R213" s="16">
        <f t="shared" si="16"/>
        <v>0</v>
      </c>
      <c r="S213" s="16">
        <f t="shared" si="17"/>
        <v>0</v>
      </c>
      <c r="T213" s="30">
        <f t="shared" si="18"/>
        <v>0</v>
      </c>
      <c r="U213" s="30">
        <f t="shared" si="19"/>
        <v>0</v>
      </c>
    </row>
    <row r="214" spans="1:21" s="16" customFormat="1" ht="20" customHeight="1" x14ac:dyDescent="0.35">
      <c r="A214" s="16" t="s">
        <v>319</v>
      </c>
      <c r="B214" s="28">
        <v>46091</v>
      </c>
      <c r="C214" s="16" t="s">
        <v>17</v>
      </c>
      <c r="D214" s="16" t="s">
        <v>302</v>
      </c>
      <c r="E214" s="29">
        <v>46082</v>
      </c>
      <c r="F214" s="16" t="s">
        <v>65</v>
      </c>
      <c r="G214" s="16" t="s">
        <v>105</v>
      </c>
      <c r="H214" s="16">
        <v>16</v>
      </c>
      <c r="I214" s="16" t="s">
        <v>106</v>
      </c>
      <c r="J214" s="16" t="s">
        <v>99</v>
      </c>
      <c r="K214" s="16" t="s">
        <v>522</v>
      </c>
      <c r="L214" s="16" t="s">
        <v>315</v>
      </c>
      <c r="M214" s="16" t="s">
        <v>24</v>
      </c>
      <c r="N214" s="16">
        <v>0</v>
      </c>
      <c r="O214" s="16">
        <v>0</v>
      </c>
      <c r="P214" s="16">
        <v>0</v>
      </c>
      <c r="Q214" s="16">
        <f t="shared" si="15"/>
        <v>0</v>
      </c>
      <c r="R214" s="16">
        <f t="shared" si="16"/>
        <v>0</v>
      </c>
      <c r="S214" s="16">
        <f t="shared" si="17"/>
        <v>0</v>
      </c>
      <c r="T214" s="30">
        <f t="shared" si="18"/>
        <v>0</v>
      </c>
      <c r="U214" s="30">
        <f t="shared" si="19"/>
        <v>16000</v>
      </c>
    </row>
    <row r="215" spans="1:21" s="16" customFormat="1" ht="20" customHeight="1" x14ac:dyDescent="0.35">
      <c r="A215" s="16" t="s">
        <v>320</v>
      </c>
      <c r="B215" s="28">
        <v>46091</v>
      </c>
      <c r="C215" s="16" t="s">
        <v>17</v>
      </c>
      <c r="D215" s="16" t="s">
        <v>302</v>
      </c>
      <c r="E215" s="29">
        <v>46082</v>
      </c>
      <c r="F215" s="16" t="s">
        <v>26</v>
      </c>
      <c r="G215" s="16" t="s">
        <v>27</v>
      </c>
      <c r="H215" s="16">
        <v>14000</v>
      </c>
      <c r="I215" s="16" t="s">
        <v>28</v>
      </c>
      <c r="J215" s="16" t="s">
        <v>29</v>
      </c>
      <c r="K215" s="16" t="s">
        <v>522</v>
      </c>
      <c r="L215" s="16" t="s">
        <v>146</v>
      </c>
      <c r="M215" s="16" t="s">
        <v>24</v>
      </c>
      <c r="N215" s="16">
        <v>14000</v>
      </c>
      <c r="O215" s="16">
        <v>0</v>
      </c>
      <c r="P215" s="16">
        <v>0</v>
      </c>
      <c r="Q215" s="16">
        <f t="shared" si="15"/>
        <v>0</v>
      </c>
      <c r="R215" s="16">
        <f t="shared" si="16"/>
        <v>0</v>
      </c>
      <c r="S215" s="16">
        <f t="shared" si="17"/>
        <v>0</v>
      </c>
      <c r="T215" s="30">
        <f t="shared" si="18"/>
        <v>0</v>
      </c>
      <c r="U215" s="30">
        <f t="shared" si="19"/>
        <v>0</v>
      </c>
    </row>
    <row r="216" spans="1:21" s="16" customFormat="1" ht="20" customHeight="1" x14ac:dyDescent="0.35">
      <c r="A216" s="16" t="s">
        <v>321</v>
      </c>
      <c r="B216" s="28">
        <v>46091</v>
      </c>
      <c r="C216" s="16" t="s">
        <v>17</v>
      </c>
      <c r="D216" s="16" t="s">
        <v>302</v>
      </c>
      <c r="E216" s="29">
        <v>46082</v>
      </c>
      <c r="F216" s="16" t="s">
        <v>112</v>
      </c>
      <c r="G216" s="16" t="s">
        <v>113</v>
      </c>
      <c r="H216" s="16">
        <v>6</v>
      </c>
      <c r="I216" s="16" t="s">
        <v>114</v>
      </c>
      <c r="J216" s="16" t="s">
        <v>115</v>
      </c>
      <c r="K216" s="16" t="s">
        <v>522</v>
      </c>
      <c r="L216" s="16" t="s">
        <v>116</v>
      </c>
      <c r="M216" s="16" t="s">
        <v>24</v>
      </c>
      <c r="N216" s="16">
        <v>0</v>
      </c>
      <c r="O216" s="16">
        <v>6</v>
      </c>
      <c r="P216" s="16">
        <v>0</v>
      </c>
      <c r="Q216" s="16">
        <f t="shared" si="15"/>
        <v>0</v>
      </c>
      <c r="R216" s="16">
        <f t="shared" si="16"/>
        <v>0</v>
      </c>
      <c r="S216" s="16">
        <f t="shared" si="17"/>
        <v>0</v>
      </c>
      <c r="T216" s="30">
        <f t="shared" si="18"/>
        <v>0</v>
      </c>
      <c r="U216" s="30">
        <f t="shared" si="19"/>
        <v>0</v>
      </c>
    </row>
    <row r="217" spans="1:21" s="16" customFormat="1" ht="20" customHeight="1" x14ac:dyDescent="0.35">
      <c r="A217" s="16" t="s">
        <v>322</v>
      </c>
      <c r="B217" s="28">
        <v>46091</v>
      </c>
      <c r="C217" s="16" t="s">
        <v>17</v>
      </c>
      <c r="D217" s="16" t="s">
        <v>302</v>
      </c>
      <c r="E217" s="29">
        <v>46082</v>
      </c>
      <c r="F217" s="16" t="s">
        <v>112</v>
      </c>
      <c r="G217" s="16" t="s">
        <v>118</v>
      </c>
      <c r="H217" s="16">
        <v>4</v>
      </c>
      <c r="I217" s="16" t="s">
        <v>114</v>
      </c>
      <c r="J217" s="16" t="s">
        <v>115</v>
      </c>
      <c r="K217" s="16" t="s">
        <v>522</v>
      </c>
      <c r="L217" s="16" t="s">
        <v>119</v>
      </c>
      <c r="M217" s="16" t="s">
        <v>24</v>
      </c>
      <c r="N217" s="16">
        <v>0</v>
      </c>
      <c r="O217" s="16">
        <v>0</v>
      </c>
      <c r="P217" s="16">
        <v>4</v>
      </c>
      <c r="Q217" s="16">
        <f t="shared" si="15"/>
        <v>0</v>
      </c>
      <c r="R217" s="16">
        <f t="shared" si="16"/>
        <v>0</v>
      </c>
      <c r="S217" s="16">
        <f t="shared" si="17"/>
        <v>0</v>
      </c>
      <c r="T217" s="30">
        <f t="shared" si="18"/>
        <v>0</v>
      </c>
      <c r="U217" s="30">
        <f t="shared" si="19"/>
        <v>0</v>
      </c>
    </row>
    <row r="218" spans="1:21" s="16" customFormat="1" ht="20" customHeight="1" x14ac:dyDescent="0.35">
      <c r="A218" s="16" t="s">
        <v>323</v>
      </c>
      <c r="B218" s="28">
        <v>46092</v>
      </c>
      <c r="C218" s="16" t="s">
        <v>32</v>
      </c>
      <c r="D218" s="16" t="s">
        <v>302</v>
      </c>
      <c r="E218" s="29">
        <v>46082</v>
      </c>
      <c r="F218" s="16" t="s">
        <v>65</v>
      </c>
      <c r="G218" s="16" t="s">
        <v>139</v>
      </c>
      <c r="H218" s="16">
        <v>66</v>
      </c>
      <c r="I218" s="16" t="s">
        <v>21</v>
      </c>
      <c r="J218" s="16" t="s">
        <v>99</v>
      </c>
      <c r="K218" s="16" t="s">
        <v>522</v>
      </c>
      <c r="L218" s="16" t="s">
        <v>160</v>
      </c>
      <c r="M218" s="16" t="s">
        <v>24</v>
      </c>
      <c r="N218" s="16">
        <v>0</v>
      </c>
      <c r="O218" s="16">
        <v>0</v>
      </c>
      <c r="P218" s="16">
        <v>0</v>
      </c>
      <c r="Q218" s="16">
        <f t="shared" si="15"/>
        <v>0</v>
      </c>
      <c r="R218" s="16">
        <f t="shared" si="16"/>
        <v>0</v>
      </c>
      <c r="S218" s="16">
        <f t="shared" si="17"/>
        <v>0</v>
      </c>
      <c r="T218" s="30">
        <f t="shared" si="18"/>
        <v>66000</v>
      </c>
      <c r="U218" s="30">
        <f t="shared" si="19"/>
        <v>0</v>
      </c>
    </row>
    <row r="219" spans="1:21" s="16" customFormat="1" ht="20" customHeight="1" x14ac:dyDescent="0.35">
      <c r="A219" s="16" t="s">
        <v>324</v>
      </c>
      <c r="B219" s="28">
        <v>46092</v>
      </c>
      <c r="C219" s="16" t="s">
        <v>32</v>
      </c>
      <c r="D219" s="16" t="s">
        <v>302</v>
      </c>
      <c r="E219" s="29">
        <v>46082</v>
      </c>
      <c r="F219" s="16" t="s">
        <v>65</v>
      </c>
      <c r="G219" s="16" t="s">
        <v>102</v>
      </c>
      <c r="H219" s="16">
        <v>41</v>
      </c>
      <c r="I219" s="16" t="s">
        <v>84</v>
      </c>
      <c r="J219" s="16" t="s">
        <v>99</v>
      </c>
      <c r="K219" s="16" t="s">
        <v>522</v>
      </c>
      <c r="L219" s="16" t="s">
        <v>160</v>
      </c>
      <c r="M219" s="16" t="s">
        <v>24</v>
      </c>
      <c r="N219" s="16">
        <v>0</v>
      </c>
      <c r="O219" s="16">
        <v>0</v>
      </c>
      <c r="P219" s="16">
        <v>0</v>
      </c>
      <c r="Q219" s="16">
        <f t="shared" si="15"/>
        <v>0</v>
      </c>
      <c r="R219" s="16">
        <f t="shared" si="16"/>
        <v>0</v>
      </c>
      <c r="S219" s="16">
        <f t="shared" si="17"/>
        <v>0</v>
      </c>
      <c r="T219" s="30">
        <f t="shared" si="18"/>
        <v>0</v>
      </c>
      <c r="U219" s="30">
        <f t="shared" si="19"/>
        <v>0</v>
      </c>
    </row>
    <row r="220" spans="1:21" s="16" customFormat="1" ht="20" customHeight="1" x14ac:dyDescent="0.35">
      <c r="A220" s="16" t="s">
        <v>325</v>
      </c>
      <c r="B220" s="28">
        <v>46092</v>
      </c>
      <c r="C220" s="16" t="s">
        <v>32</v>
      </c>
      <c r="D220" s="16" t="s">
        <v>302</v>
      </c>
      <c r="E220" s="29">
        <v>46082</v>
      </c>
      <c r="F220" s="16" t="s">
        <v>65</v>
      </c>
      <c r="G220" s="16" t="s">
        <v>105</v>
      </c>
      <c r="H220" s="16">
        <v>22</v>
      </c>
      <c r="I220" s="16" t="s">
        <v>106</v>
      </c>
      <c r="J220" s="16" t="s">
        <v>99</v>
      </c>
      <c r="K220" s="16" t="s">
        <v>522</v>
      </c>
      <c r="L220" s="16" t="s">
        <v>160</v>
      </c>
      <c r="M220" s="16" t="s">
        <v>24</v>
      </c>
      <c r="N220" s="16">
        <v>0</v>
      </c>
      <c r="O220" s="16">
        <v>0</v>
      </c>
      <c r="P220" s="16">
        <v>0</v>
      </c>
      <c r="Q220" s="16">
        <f t="shared" si="15"/>
        <v>0</v>
      </c>
      <c r="R220" s="16">
        <f t="shared" si="16"/>
        <v>0</v>
      </c>
      <c r="S220" s="16">
        <f t="shared" si="17"/>
        <v>0</v>
      </c>
      <c r="T220" s="30">
        <f t="shared" si="18"/>
        <v>0</v>
      </c>
      <c r="U220" s="30">
        <f t="shared" si="19"/>
        <v>22000</v>
      </c>
    </row>
    <row r="221" spans="1:21" s="16" customFormat="1" ht="20" customHeight="1" x14ac:dyDescent="0.35">
      <c r="A221" s="16" t="s">
        <v>326</v>
      </c>
      <c r="B221" s="28">
        <v>46092</v>
      </c>
      <c r="C221" s="16" t="s">
        <v>32</v>
      </c>
      <c r="D221" s="16" t="s">
        <v>302</v>
      </c>
      <c r="E221" s="29">
        <v>46082</v>
      </c>
      <c r="F221" s="16" t="s">
        <v>26</v>
      </c>
      <c r="G221" s="16" t="s">
        <v>27</v>
      </c>
      <c r="H221" s="16">
        <v>18000</v>
      </c>
      <c r="I221" s="16" t="s">
        <v>28</v>
      </c>
      <c r="J221" s="16" t="s">
        <v>29</v>
      </c>
      <c r="K221" s="16" t="s">
        <v>522</v>
      </c>
      <c r="L221" s="16" t="s">
        <v>168</v>
      </c>
      <c r="M221" s="16" t="s">
        <v>24</v>
      </c>
      <c r="N221" s="16">
        <v>18000</v>
      </c>
      <c r="O221" s="16">
        <v>0</v>
      </c>
      <c r="P221" s="16">
        <v>0</v>
      </c>
      <c r="Q221" s="16">
        <f t="shared" si="15"/>
        <v>0</v>
      </c>
      <c r="R221" s="16">
        <f t="shared" si="16"/>
        <v>0</v>
      </c>
      <c r="S221" s="16">
        <f t="shared" si="17"/>
        <v>0</v>
      </c>
      <c r="T221" s="30">
        <f t="shared" si="18"/>
        <v>0</v>
      </c>
      <c r="U221" s="30">
        <f t="shared" si="19"/>
        <v>0</v>
      </c>
    </row>
    <row r="222" spans="1:21" s="16" customFormat="1" ht="20" customHeight="1" x14ac:dyDescent="0.35">
      <c r="A222" s="16" t="s">
        <v>327</v>
      </c>
      <c r="B222" s="28">
        <v>46092</v>
      </c>
      <c r="C222" s="16" t="s">
        <v>32</v>
      </c>
      <c r="D222" s="16" t="s">
        <v>302</v>
      </c>
      <c r="E222" s="29">
        <v>46082</v>
      </c>
      <c r="F222" s="16" t="s">
        <v>112</v>
      </c>
      <c r="G222" s="16" t="s">
        <v>113</v>
      </c>
      <c r="H222" s="16">
        <v>7</v>
      </c>
      <c r="I222" s="16" t="s">
        <v>114</v>
      </c>
      <c r="J222" s="16" t="s">
        <v>115</v>
      </c>
      <c r="K222" s="16" t="s">
        <v>522</v>
      </c>
      <c r="L222" s="16" t="s">
        <v>116</v>
      </c>
      <c r="M222" s="16" t="s">
        <v>24</v>
      </c>
      <c r="N222" s="16">
        <v>0</v>
      </c>
      <c r="O222" s="16">
        <v>7</v>
      </c>
      <c r="P222" s="16">
        <v>0</v>
      </c>
      <c r="Q222" s="16">
        <f t="shared" si="15"/>
        <v>0</v>
      </c>
      <c r="R222" s="16">
        <f t="shared" si="16"/>
        <v>0</v>
      </c>
      <c r="S222" s="16">
        <f t="shared" si="17"/>
        <v>0</v>
      </c>
      <c r="T222" s="30">
        <f t="shared" si="18"/>
        <v>0</v>
      </c>
      <c r="U222" s="30">
        <f t="shared" si="19"/>
        <v>0</v>
      </c>
    </row>
    <row r="223" spans="1:21" s="16" customFormat="1" ht="20" customHeight="1" x14ac:dyDescent="0.35">
      <c r="A223" s="16" t="s">
        <v>328</v>
      </c>
      <c r="B223" s="28">
        <v>46092</v>
      </c>
      <c r="C223" s="16" t="s">
        <v>32</v>
      </c>
      <c r="D223" s="16" t="s">
        <v>302</v>
      </c>
      <c r="E223" s="29">
        <v>46082</v>
      </c>
      <c r="F223" s="16" t="s">
        <v>112</v>
      </c>
      <c r="G223" s="16" t="s">
        <v>118</v>
      </c>
      <c r="H223" s="16">
        <v>5</v>
      </c>
      <c r="I223" s="16" t="s">
        <v>114</v>
      </c>
      <c r="J223" s="16" t="s">
        <v>115</v>
      </c>
      <c r="K223" s="16" t="s">
        <v>522</v>
      </c>
      <c r="L223" s="16" t="s">
        <v>119</v>
      </c>
      <c r="M223" s="16" t="s">
        <v>24</v>
      </c>
      <c r="N223" s="16">
        <v>0</v>
      </c>
      <c r="O223" s="16">
        <v>0</v>
      </c>
      <c r="P223" s="16">
        <v>5</v>
      </c>
      <c r="Q223" s="16">
        <f t="shared" si="15"/>
        <v>0</v>
      </c>
      <c r="R223" s="16">
        <f t="shared" si="16"/>
        <v>0</v>
      </c>
      <c r="S223" s="16">
        <f t="shared" si="17"/>
        <v>0</v>
      </c>
      <c r="T223" s="30">
        <f t="shared" si="18"/>
        <v>0</v>
      </c>
      <c r="U223" s="30">
        <f t="shared" si="19"/>
        <v>0</v>
      </c>
    </row>
    <row r="224" spans="1:21" s="16" customFormat="1" ht="20" customHeight="1" x14ac:dyDescent="0.35">
      <c r="A224" s="16" t="s">
        <v>329</v>
      </c>
      <c r="B224" s="28">
        <v>46093</v>
      </c>
      <c r="C224" s="16" t="s">
        <v>36</v>
      </c>
      <c r="D224" s="16" t="s">
        <v>302</v>
      </c>
      <c r="E224" s="29">
        <v>46082</v>
      </c>
      <c r="F224" s="16" t="s">
        <v>65</v>
      </c>
      <c r="G224" s="16" t="s">
        <v>98</v>
      </c>
      <c r="H224" s="16">
        <v>45.5</v>
      </c>
      <c r="I224" s="16" t="s">
        <v>21</v>
      </c>
      <c r="J224" s="16" t="s">
        <v>99</v>
      </c>
      <c r="K224" s="16" t="s">
        <v>522</v>
      </c>
      <c r="L224" s="16" t="s">
        <v>100</v>
      </c>
      <c r="M224" s="16" t="s">
        <v>24</v>
      </c>
      <c r="N224" s="16">
        <v>0</v>
      </c>
      <c r="O224" s="16">
        <v>0</v>
      </c>
      <c r="P224" s="16">
        <v>0</v>
      </c>
      <c r="Q224" s="16">
        <f t="shared" si="15"/>
        <v>0</v>
      </c>
      <c r="R224" s="16">
        <f t="shared" si="16"/>
        <v>0</v>
      </c>
      <c r="S224" s="16">
        <f t="shared" si="17"/>
        <v>22750</v>
      </c>
      <c r="T224" s="30">
        <f t="shared" si="18"/>
        <v>0</v>
      </c>
      <c r="U224" s="30">
        <f t="shared" si="19"/>
        <v>0</v>
      </c>
    </row>
    <row r="225" spans="1:21" s="16" customFormat="1" ht="20" customHeight="1" x14ac:dyDescent="0.35">
      <c r="A225" s="16" t="s">
        <v>330</v>
      </c>
      <c r="B225" s="28">
        <v>46093</v>
      </c>
      <c r="C225" s="16" t="s">
        <v>36</v>
      </c>
      <c r="D225" s="16" t="s">
        <v>302</v>
      </c>
      <c r="E225" s="29">
        <v>46082</v>
      </c>
      <c r="F225" s="16" t="s">
        <v>65</v>
      </c>
      <c r="G225" s="16" t="s">
        <v>102</v>
      </c>
      <c r="H225" s="16">
        <v>18.5</v>
      </c>
      <c r="I225" s="16" t="s">
        <v>84</v>
      </c>
      <c r="J225" s="16" t="s">
        <v>99</v>
      </c>
      <c r="K225" s="16" t="s">
        <v>522</v>
      </c>
      <c r="L225" s="16" t="s">
        <v>103</v>
      </c>
      <c r="M225" s="16" t="s">
        <v>24</v>
      </c>
      <c r="N225" s="16">
        <v>0</v>
      </c>
      <c r="O225" s="16">
        <v>0</v>
      </c>
      <c r="P225" s="16">
        <v>0</v>
      </c>
      <c r="Q225" s="16">
        <f t="shared" si="15"/>
        <v>0</v>
      </c>
      <c r="R225" s="16">
        <f t="shared" si="16"/>
        <v>0</v>
      </c>
      <c r="S225" s="16">
        <f t="shared" si="17"/>
        <v>0</v>
      </c>
      <c r="T225" s="30">
        <f t="shared" si="18"/>
        <v>0</v>
      </c>
      <c r="U225" s="30">
        <f t="shared" si="19"/>
        <v>0</v>
      </c>
    </row>
    <row r="226" spans="1:21" s="16" customFormat="1" ht="20" customHeight="1" x14ac:dyDescent="0.35">
      <c r="A226" s="16" t="s">
        <v>331</v>
      </c>
      <c r="B226" s="28">
        <v>46093</v>
      </c>
      <c r="C226" s="16" t="s">
        <v>36</v>
      </c>
      <c r="D226" s="16" t="s">
        <v>302</v>
      </c>
      <c r="E226" s="29">
        <v>46082</v>
      </c>
      <c r="F226" s="16" t="s">
        <v>65</v>
      </c>
      <c r="G226" s="16" t="s">
        <v>105</v>
      </c>
      <c r="H226" s="16">
        <v>13</v>
      </c>
      <c r="I226" s="16" t="s">
        <v>106</v>
      </c>
      <c r="J226" s="16" t="s">
        <v>99</v>
      </c>
      <c r="K226" s="16" t="s">
        <v>522</v>
      </c>
      <c r="L226" s="16" t="s">
        <v>103</v>
      </c>
      <c r="M226" s="16" t="s">
        <v>24</v>
      </c>
      <c r="N226" s="16">
        <v>0</v>
      </c>
      <c r="O226" s="16">
        <v>0</v>
      </c>
      <c r="P226" s="16">
        <v>0</v>
      </c>
      <c r="Q226" s="16">
        <f t="shared" si="15"/>
        <v>0</v>
      </c>
      <c r="R226" s="16">
        <f t="shared" si="16"/>
        <v>0</v>
      </c>
      <c r="S226" s="16">
        <f t="shared" si="17"/>
        <v>0</v>
      </c>
      <c r="T226" s="30">
        <f t="shared" si="18"/>
        <v>0</v>
      </c>
      <c r="U226" s="30">
        <f t="shared" si="19"/>
        <v>13000</v>
      </c>
    </row>
    <row r="227" spans="1:21" s="16" customFormat="1" ht="20" customHeight="1" x14ac:dyDescent="0.35">
      <c r="A227" s="16" t="s">
        <v>332</v>
      </c>
      <c r="B227" s="28">
        <v>46093</v>
      </c>
      <c r="C227" s="16" t="s">
        <v>36</v>
      </c>
      <c r="D227" s="16" t="s">
        <v>302</v>
      </c>
      <c r="E227" s="29">
        <v>46082</v>
      </c>
      <c r="F227" s="16" t="s">
        <v>26</v>
      </c>
      <c r="G227" s="16" t="s">
        <v>27</v>
      </c>
      <c r="H227" s="16">
        <v>14000</v>
      </c>
      <c r="I227" s="16" t="s">
        <v>28</v>
      </c>
      <c r="J227" s="16" t="s">
        <v>29</v>
      </c>
      <c r="K227" s="16" t="s">
        <v>522</v>
      </c>
      <c r="L227" s="16" t="s">
        <v>127</v>
      </c>
      <c r="M227" s="16" t="s">
        <v>24</v>
      </c>
      <c r="N227" s="16">
        <v>14000</v>
      </c>
      <c r="O227" s="16">
        <v>0</v>
      </c>
      <c r="P227" s="16">
        <v>0</v>
      </c>
      <c r="Q227" s="16">
        <f t="shared" si="15"/>
        <v>0</v>
      </c>
      <c r="R227" s="16">
        <f t="shared" si="16"/>
        <v>0</v>
      </c>
      <c r="S227" s="16">
        <f t="shared" si="17"/>
        <v>0</v>
      </c>
      <c r="T227" s="30">
        <f t="shared" si="18"/>
        <v>0</v>
      </c>
      <c r="U227" s="30">
        <f t="shared" si="19"/>
        <v>0</v>
      </c>
    </row>
    <row r="228" spans="1:21" s="16" customFormat="1" ht="20" customHeight="1" x14ac:dyDescent="0.35">
      <c r="A228" s="16" t="s">
        <v>333</v>
      </c>
      <c r="B228" s="28">
        <v>46093</v>
      </c>
      <c r="C228" s="16" t="s">
        <v>36</v>
      </c>
      <c r="D228" s="16" t="s">
        <v>302</v>
      </c>
      <c r="E228" s="29">
        <v>46082</v>
      </c>
      <c r="F228" s="16" t="s">
        <v>112</v>
      </c>
      <c r="G228" s="16" t="s">
        <v>113</v>
      </c>
      <c r="H228" s="16">
        <v>7</v>
      </c>
      <c r="I228" s="16" t="s">
        <v>114</v>
      </c>
      <c r="J228" s="16" t="s">
        <v>115</v>
      </c>
      <c r="K228" s="16" t="s">
        <v>522</v>
      </c>
      <c r="L228" s="16" t="s">
        <v>116</v>
      </c>
      <c r="M228" s="16" t="s">
        <v>24</v>
      </c>
      <c r="N228" s="16">
        <v>0</v>
      </c>
      <c r="O228" s="16">
        <v>7</v>
      </c>
      <c r="P228" s="16">
        <v>0</v>
      </c>
      <c r="Q228" s="16">
        <f t="shared" si="15"/>
        <v>0</v>
      </c>
      <c r="R228" s="16">
        <f t="shared" si="16"/>
        <v>0</v>
      </c>
      <c r="S228" s="16">
        <f t="shared" si="17"/>
        <v>0</v>
      </c>
      <c r="T228" s="30">
        <f t="shared" si="18"/>
        <v>0</v>
      </c>
      <c r="U228" s="30">
        <f t="shared" si="19"/>
        <v>0</v>
      </c>
    </row>
    <row r="229" spans="1:21" s="16" customFormat="1" ht="20" customHeight="1" x14ac:dyDescent="0.35">
      <c r="A229" s="16" t="s">
        <v>334</v>
      </c>
      <c r="B229" s="28">
        <v>46093</v>
      </c>
      <c r="C229" s="16" t="s">
        <v>36</v>
      </c>
      <c r="D229" s="16" t="s">
        <v>302</v>
      </c>
      <c r="E229" s="29">
        <v>46082</v>
      </c>
      <c r="F229" s="16" t="s">
        <v>112</v>
      </c>
      <c r="G229" s="16" t="s">
        <v>118</v>
      </c>
      <c r="H229" s="16">
        <v>5</v>
      </c>
      <c r="I229" s="16" t="s">
        <v>114</v>
      </c>
      <c r="J229" s="16" t="s">
        <v>115</v>
      </c>
      <c r="K229" s="16" t="s">
        <v>522</v>
      </c>
      <c r="L229" s="16" t="s">
        <v>119</v>
      </c>
      <c r="M229" s="16" t="s">
        <v>24</v>
      </c>
      <c r="N229" s="16">
        <v>0</v>
      </c>
      <c r="O229" s="16">
        <v>0</v>
      </c>
      <c r="P229" s="16">
        <v>5</v>
      </c>
      <c r="Q229" s="16">
        <f t="shared" si="15"/>
        <v>0</v>
      </c>
      <c r="R229" s="16">
        <f t="shared" si="16"/>
        <v>0</v>
      </c>
      <c r="S229" s="16">
        <f t="shared" si="17"/>
        <v>0</v>
      </c>
      <c r="T229" s="30">
        <f t="shared" si="18"/>
        <v>0</v>
      </c>
      <c r="U229" s="30">
        <f t="shared" si="19"/>
        <v>0</v>
      </c>
    </row>
    <row r="230" spans="1:21" s="16" customFormat="1" ht="20" customHeight="1" x14ac:dyDescent="0.35">
      <c r="A230" s="16" t="s">
        <v>335</v>
      </c>
      <c r="B230" s="28">
        <v>46094</v>
      </c>
      <c r="C230" s="16" t="s">
        <v>39</v>
      </c>
      <c r="D230" s="16" t="s">
        <v>302</v>
      </c>
      <c r="E230" s="29">
        <v>46082</v>
      </c>
      <c r="F230" s="16" t="s">
        <v>65</v>
      </c>
      <c r="G230" s="16" t="s">
        <v>98</v>
      </c>
      <c r="H230" s="16">
        <v>57.6</v>
      </c>
      <c r="I230" s="16" t="s">
        <v>21</v>
      </c>
      <c r="J230" s="16" t="s">
        <v>99</v>
      </c>
      <c r="K230" s="16" t="s">
        <v>522</v>
      </c>
      <c r="L230" s="16" t="s">
        <v>100</v>
      </c>
      <c r="M230" s="16" t="s">
        <v>24</v>
      </c>
      <c r="N230" s="16">
        <v>0</v>
      </c>
      <c r="O230" s="16">
        <v>0</v>
      </c>
      <c r="P230" s="16">
        <v>0</v>
      </c>
      <c r="Q230" s="16">
        <f t="shared" si="15"/>
        <v>0</v>
      </c>
      <c r="R230" s="16">
        <f t="shared" si="16"/>
        <v>0</v>
      </c>
      <c r="S230" s="16">
        <f t="shared" si="17"/>
        <v>28800</v>
      </c>
      <c r="T230" s="30">
        <f t="shared" si="18"/>
        <v>0</v>
      </c>
      <c r="U230" s="30">
        <f t="shared" si="19"/>
        <v>0</v>
      </c>
    </row>
    <row r="231" spans="1:21" s="16" customFormat="1" ht="20" customHeight="1" x14ac:dyDescent="0.35">
      <c r="A231" s="16" t="s">
        <v>336</v>
      </c>
      <c r="B231" s="28">
        <v>46094</v>
      </c>
      <c r="C231" s="16" t="s">
        <v>39</v>
      </c>
      <c r="D231" s="16" t="s">
        <v>302</v>
      </c>
      <c r="E231" s="29">
        <v>46082</v>
      </c>
      <c r="F231" s="16" t="s">
        <v>65</v>
      </c>
      <c r="G231" s="16" t="s">
        <v>102</v>
      </c>
      <c r="H231" s="16">
        <v>11.5</v>
      </c>
      <c r="I231" s="16" t="s">
        <v>84</v>
      </c>
      <c r="J231" s="16" t="s">
        <v>99</v>
      </c>
      <c r="K231" s="16" t="s">
        <v>522</v>
      </c>
      <c r="L231" s="16" t="s">
        <v>103</v>
      </c>
      <c r="M231" s="16" t="s">
        <v>24</v>
      </c>
      <c r="N231" s="16">
        <v>0</v>
      </c>
      <c r="O231" s="16">
        <v>0</v>
      </c>
      <c r="P231" s="16">
        <v>0</v>
      </c>
      <c r="Q231" s="16">
        <f t="shared" si="15"/>
        <v>0</v>
      </c>
      <c r="R231" s="16">
        <f t="shared" si="16"/>
        <v>0</v>
      </c>
      <c r="S231" s="16">
        <f t="shared" si="17"/>
        <v>0</v>
      </c>
      <c r="T231" s="30">
        <f t="shared" si="18"/>
        <v>0</v>
      </c>
      <c r="U231" s="30">
        <f t="shared" si="19"/>
        <v>0</v>
      </c>
    </row>
    <row r="232" spans="1:21" s="16" customFormat="1" ht="20" customHeight="1" x14ac:dyDescent="0.35">
      <c r="A232" s="16" t="s">
        <v>337</v>
      </c>
      <c r="B232" s="28">
        <v>46094</v>
      </c>
      <c r="C232" s="16" t="s">
        <v>39</v>
      </c>
      <c r="D232" s="16" t="s">
        <v>302</v>
      </c>
      <c r="E232" s="29">
        <v>46082</v>
      </c>
      <c r="F232" s="16" t="s">
        <v>65</v>
      </c>
      <c r="G232" s="16" t="s">
        <v>105</v>
      </c>
      <c r="H232" s="16">
        <v>9</v>
      </c>
      <c r="I232" s="16" t="s">
        <v>106</v>
      </c>
      <c r="J232" s="16" t="s">
        <v>99</v>
      </c>
      <c r="K232" s="16" t="s">
        <v>522</v>
      </c>
      <c r="L232" s="16" t="s">
        <v>103</v>
      </c>
      <c r="M232" s="16" t="s">
        <v>24</v>
      </c>
      <c r="N232" s="16">
        <v>0</v>
      </c>
      <c r="O232" s="16">
        <v>0</v>
      </c>
      <c r="P232" s="16">
        <v>0</v>
      </c>
      <c r="Q232" s="16">
        <f t="shared" si="15"/>
        <v>0</v>
      </c>
      <c r="R232" s="16">
        <f t="shared" si="16"/>
        <v>0</v>
      </c>
      <c r="S232" s="16">
        <f t="shared" si="17"/>
        <v>0</v>
      </c>
      <c r="T232" s="30">
        <f t="shared" si="18"/>
        <v>0</v>
      </c>
      <c r="U232" s="30">
        <f t="shared" si="19"/>
        <v>9000</v>
      </c>
    </row>
    <row r="233" spans="1:21" s="16" customFormat="1" ht="20" customHeight="1" x14ac:dyDescent="0.35">
      <c r="A233" s="16" t="s">
        <v>338</v>
      </c>
      <c r="B233" s="28">
        <v>46094</v>
      </c>
      <c r="C233" s="16" t="s">
        <v>39</v>
      </c>
      <c r="D233" s="16" t="s">
        <v>302</v>
      </c>
      <c r="E233" s="29">
        <v>46082</v>
      </c>
      <c r="F233" s="16" t="s">
        <v>26</v>
      </c>
      <c r="G233" s="16" t="s">
        <v>27</v>
      </c>
      <c r="H233" s="16">
        <v>10000</v>
      </c>
      <c r="I233" s="16" t="s">
        <v>28</v>
      </c>
      <c r="J233" s="16" t="s">
        <v>29</v>
      </c>
      <c r="K233" s="16" t="s">
        <v>522</v>
      </c>
      <c r="L233" s="16" t="s">
        <v>127</v>
      </c>
      <c r="M233" s="16" t="s">
        <v>24</v>
      </c>
      <c r="N233" s="16">
        <v>10000</v>
      </c>
      <c r="O233" s="16">
        <v>0</v>
      </c>
      <c r="P233" s="16">
        <v>0</v>
      </c>
      <c r="Q233" s="16">
        <f t="shared" si="15"/>
        <v>0</v>
      </c>
      <c r="R233" s="16">
        <f t="shared" si="16"/>
        <v>0</v>
      </c>
      <c r="S233" s="16">
        <f t="shared" si="17"/>
        <v>0</v>
      </c>
      <c r="T233" s="30">
        <f t="shared" si="18"/>
        <v>0</v>
      </c>
      <c r="U233" s="30">
        <f t="shared" si="19"/>
        <v>0</v>
      </c>
    </row>
    <row r="234" spans="1:21" s="16" customFormat="1" ht="20" customHeight="1" x14ac:dyDescent="0.35">
      <c r="A234" s="16" t="s">
        <v>340</v>
      </c>
      <c r="B234" s="28">
        <v>46094</v>
      </c>
      <c r="C234" s="16" t="s">
        <v>39</v>
      </c>
      <c r="D234" s="16" t="s">
        <v>302</v>
      </c>
      <c r="E234" s="29">
        <v>46082</v>
      </c>
      <c r="F234" s="16" t="s">
        <v>112</v>
      </c>
      <c r="G234" s="16" t="s">
        <v>113</v>
      </c>
      <c r="H234" s="16">
        <v>6</v>
      </c>
      <c r="I234" s="16" t="s">
        <v>114</v>
      </c>
      <c r="J234" s="16" t="s">
        <v>115</v>
      </c>
      <c r="K234" s="16" t="s">
        <v>522</v>
      </c>
      <c r="L234" s="16" t="s">
        <v>116</v>
      </c>
      <c r="M234" s="16" t="s">
        <v>24</v>
      </c>
      <c r="N234" s="16">
        <v>0</v>
      </c>
      <c r="O234" s="16">
        <v>6</v>
      </c>
      <c r="P234" s="16">
        <v>0</v>
      </c>
      <c r="Q234" s="16">
        <f t="shared" si="15"/>
        <v>0</v>
      </c>
      <c r="R234" s="16">
        <f t="shared" si="16"/>
        <v>0</v>
      </c>
      <c r="S234" s="16">
        <f t="shared" si="17"/>
        <v>0</v>
      </c>
      <c r="T234" s="30">
        <f t="shared" si="18"/>
        <v>0</v>
      </c>
      <c r="U234" s="30">
        <f t="shared" si="19"/>
        <v>0</v>
      </c>
    </row>
    <row r="235" spans="1:21" s="16" customFormat="1" ht="20" customHeight="1" x14ac:dyDescent="0.35">
      <c r="A235" s="16" t="s">
        <v>341</v>
      </c>
      <c r="B235" s="28">
        <v>46094</v>
      </c>
      <c r="C235" s="16" t="s">
        <v>39</v>
      </c>
      <c r="D235" s="16" t="s">
        <v>302</v>
      </c>
      <c r="E235" s="29">
        <v>46082</v>
      </c>
      <c r="F235" s="16" t="s">
        <v>112</v>
      </c>
      <c r="G235" s="16" t="s">
        <v>118</v>
      </c>
      <c r="H235" s="16">
        <v>4</v>
      </c>
      <c r="I235" s="16" t="s">
        <v>114</v>
      </c>
      <c r="J235" s="16" t="s">
        <v>115</v>
      </c>
      <c r="K235" s="16" t="s">
        <v>522</v>
      </c>
      <c r="L235" s="16" t="s">
        <v>119</v>
      </c>
      <c r="M235" s="16" t="s">
        <v>24</v>
      </c>
      <c r="N235" s="16">
        <v>0</v>
      </c>
      <c r="O235" s="16">
        <v>0</v>
      </c>
      <c r="P235" s="16">
        <v>4</v>
      </c>
      <c r="Q235" s="16">
        <f t="shared" si="15"/>
        <v>0</v>
      </c>
      <c r="R235" s="16">
        <f t="shared" si="16"/>
        <v>0</v>
      </c>
      <c r="S235" s="16">
        <f t="shared" si="17"/>
        <v>0</v>
      </c>
      <c r="T235" s="30">
        <f t="shared" si="18"/>
        <v>0</v>
      </c>
      <c r="U235" s="30">
        <f t="shared" si="19"/>
        <v>0</v>
      </c>
    </row>
    <row r="236" spans="1:21" s="16" customFormat="1" ht="20" customHeight="1" x14ac:dyDescent="0.35">
      <c r="A236" s="16" t="s">
        <v>343</v>
      </c>
      <c r="B236" s="28">
        <v>46095</v>
      </c>
      <c r="C236" s="16" t="s">
        <v>42</v>
      </c>
      <c r="D236" s="16" t="s">
        <v>302</v>
      </c>
      <c r="E236" s="29">
        <v>46082</v>
      </c>
      <c r="F236" s="16" t="s">
        <v>19</v>
      </c>
      <c r="G236" s="16" t="s">
        <v>60</v>
      </c>
      <c r="H236" s="16">
        <v>4.5</v>
      </c>
      <c r="I236" s="16" t="s">
        <v>21</v>
      </c>
      <c r="J236" s="16" t="s">
        <v>22</v>
      </c>
      <c r="K236" s="16" t="s">
        <v>522</v>
      </c>
      <c r="L236" s="16" t="s">
        <v>339</v>
      </c>
      <c r="M236" s="16" t="s">
        <v>24</v>
      </c>
      <c r="N236" s="16">
        <v>0</v>
      </c>
      <c r="O236" s="16">
        <v>0</v>
      </c>
      <c r="P236" s="16">
        <v>0</v>
      </c>
      <c r="Q236" s="16">
        <f t="shared" si="15"/>
        <v>0</v>
      </c>
      <c r="R236" s="16">
        <f t="shared" si="16"/>
        <v>4500</v>
      </c>
      <c r="S236" s="16">
        <f t="shared" si="17"/>
        <v>0</v>
      </c>
      <c r="T236" s="30">
        <f t="shared" si="18"/>
        <v>0</v>
      </c>
      <c r="U236" s="30">
        <f t="shared" si="19"/>
        <v>0</v>
      </c>
    </row>
    <row r="237" spans="1:21" s="16" customFormat="1" ht="20" customHeight="1" x14ac:dyDescent="0.35">
      <c r="A237" s="16" t="s">
        <v>344</v>
      </c>
      <c r="B237" s="28">
        <v>46095</v>
      </c>
      <c r="C237" s="16" t="s">
        <v>42</v>
      </c>
      <c r="D237" s="16" t="s">
        <v>302</v>
      </c>
      <c r="E237" s="29">
        <v>46082</v>
      </c>
      <c r="F237" s="16" t="s">
        <v>65</v>
      </c>
      <c r="G237" s="16" t="s">
        <v>98</v>
      </c>
      <c r="H237" s="16">
        <v>36</v>
      </c>
      <c r="I237" s="16" t="s">
        <v>21</v>
      </c>
      <c r="J237" s="16" t="s">
        <v>99</v>
      </c>
      <c r="K237" s="16" t="s">
        <v>522</v>
      </c>
      <c r="L237" s="16" t="s">
        <v>100</v>
      </c>
      <c r="M237" s="16" t="s">
        <v>24</v>
      </c>
      <c r="N237" s="16">
        <v>0</v>
      </c>
      <c r="O237" s="16">
        <v>0</v>
      </c>
      <c r="P237" s="16">
        <v>0</v>
      </c>
      <c r="Q237" s="16">
        <f t="shared" si="15"/>
        <v>0</v>
      </c>
      <c r="R237" s="16">
        <f t="shared" si="16"/>
        <v>0</v>
      </c>
      <c r="S237" s="16">
        <f t="shared" si="17"/>
        <v>18000</v>
      </c>
      <c r="T237" s="30">
        <f t="shared" si="18"/>
        <v>0</v>
      </c>
      <c r="U237" s="30">
        <f t="shared" si="19"/>
        <v>0</v>
      </c>
    </row>
    <row r="238" spans="1:21" s="16" customFormat="1" ht="20" customHeight="1" x14ac:dyDescent="0.35">
      <c r="A238" s="16" t="s">
        <v>345</v>
      </c>
      <c r="B238" s="28">
        <v>46095</v>
      </c>
      <c r="C238" s="16" t="s">
        <v>42</v>
      </c>
      <c r="D238" s="16" t="s">
        <v>302</v>
      </c>
      <c r="E238" s="29">
        <v>46082</v>
      </c>
      <c r="F238" s="16" t="s">
        <v>65</v>
      </c>
      <c r="G238" s="16" t="s">
        <v>102</v>
      </c>
      <c r="H238" s="16">
        <v>21.5</v>
      </c>
      <c r="I238" s="16" t="s">
        <v>84</v>
      </c>
      <c r="J238" s="16" t="s">
        <v>99</v>
      </c>
      <c r="K238" s="16" t="s">
        <v>522</v>
      </c>
      <c r="L238" s="16" t="s">
        <v>342</v>
      </c>
      <c r="M238" s="16" t="s">
        <v>24</v>
      </c>
      <c r="N238" s="16">
        <v>0</v>
      </c>
      <c r="O238" s="16">
        <v>0</v>
      </c>
      <c r="P238" s="16">
        <v>0</v>
      </c>
      <c r="Q238" s="16">
        <f t="shared" si="15"/>
        <v>0</v>
      </c>
      <c r="R238" s="16">
        <f t="shared" si="16"/>
        <v>0</v>
      </c>
      <c r="S238" s="16">
        <f t="shared" si="17"/>
        <v>0</v>
      </c>
      <c r="T238" s="30">
        <f t="shared" si="18"/>
        <v>0</v>
      </c>
      <c r="U238" s="30">
        <f t="shared" si="19"/>
        <v>0</v>
      </c>
    </row>
    <row r="239" spans="1:21" s="16" customFormat="1" ht="20" customHeight="1" x14ac:dyDescent="0.35">
      <c r="A239" s="16" t="s">
        <v>346</v>
      </c>
      <c r="B239" s="28">
        <v>46095</v>
      </c>
      <c r="C239" s="16" t="s">
        <v>42</v>
      </c>
      <c r="D239" s="16" t="s">
        <v>302</v>
      </c>
      <c r="E239" s="29">
        <v>46082</v>
      </c>
      <c r="F239" s="16" t="s">
        <v>65</v>
      </c>
      <c r="G239" s="16" t="s">
        <v>105</v>
      </c>
      <c r="H239" s="16">
        <v>11</v>
      </c>
      <c r="I239" s="16" t="s">
        <v>106</v>
      </c>
      <c r="J239" s="16" t="s">
        <v>99</v>
      </c>
      <c r="K239" s="16" t="s">
        <v>522</v>
      </c>
      <c r="L239" s="16" t="s">
        <v>342</v>
      </c>
      <c r="M239" s="16" t="s">
        <v>24</v>
      </c>
      <c r="N239" s="16">
        <v>0</v>
      </c>
      <c r="O239" s="16">
        <v>0</v>
      </c>
      <c r="P239" s="16">
        <v>0</v>
      </c>
      <c r="Q239" s="16">
        <f t="shared" si="15"/>
        <v>0</v>
      </c>
      <c r="R239" s="16">
        <f t="shared" si="16"/>
        <v>0</v>
      </c>
      <c r="S239" s="16">
        <f t="shared" si="17"/>
        <v>0</v>
      </c>
      <c r="T239" s="30">
        <f t="shared" si="18"/>
        <v>0</v>
      </c>
      <c r="U239" s="30">
        <f t="shared" si="19"/>
        <v>11000</v>
      </c>
    </row>
    <row r="240" spans="1:21" s="16" customFormat="1" ht="20" customHeight="1" x14ac:dyDescent="0.35">
      <c r="A240" s="16" t="s">
        <v>347</v>
      </c>
      <c r="B240" s="28">
        <v>46095</v>
      </c>
      <c r="C240" s="16" t="s">
        <v>42</v>
      </c>
      <c r="D240" s="16" t="s">
        <v>302</v>
      </c>
      <c r="E240" s="29">
        <v>46082</v>
      </c>
      <c r="F240" s="16" t="s">
        <v>26</v>
      </c>
      <c r="G240" s="16" t="s">
        <v>27</v>
      </c>
      <c r="H240" s="16">
        <v>12000</v>
      </c>
      <c r="I240" s="16" t="s">
        <v>28</v>
      </c>
      <c r="J240" s="16" t="s">
        <v>29</v>
      </c>
      <c r="K240" s="16" t="s">
        <v>522</v>
      </c>
      <c r="L240" s="16" t="s">
        <v>127</v>
      </c>
      <c r="M240" s="16" t="s">
        <v>24</v>
      </c>
      <c r="N240" s="16">
        <v>12000</v>
      </c>
      <c r="O240" s="16">
        <v>0</v>
      </c>
      <c r="P240" s="16">
        <v>0</v>
      </c>
      <c r="Q240" s="16">
        <f t="shared" si="15"/>
        <v>0</v>
      </c>
      <c r="R240" s="16">
        <f t="shared" si="16"/>
        <v>0</v>
      </c>
      <c r="S240" s="16">
        <f t="shared" si="17"/>
        <v>0</v>
      </c>
      <c r="T240" s="30">
        <f t="shared" si="18"/>
        <v>0</v>
      </c>
      <c r="U240" s="30">
        <f t="shared" si="19"/>
        <v>0</v>
      </c>
    </row>
    <row r="241" spans="1:21" s="16" customFormat="1" ht="20" customHeight="1" x14ac:dyDescent="0.35">
      <c r="A241" s="16" t="s">
        <v>348</v>
      </c>
      <c r="B241" s="28">
        <v>46095</v>
      </c>
      <c r="C241" s="16" t="s">
        <v>42</v>
      </c>
      <c r="D241" s="16" t="s">
        <v>302</v>
      </c>
      <c r="E241" s="29">
        <v>46082</v>
      </c>
      <c r="F241" s="16" t="s">
        <v>112</v>
      </c>
      <c r="G241" s="16" t="s">
        <v>113</v>
      </c>
      <c r="H241" s="16">
        <v>5</v>
      </c>
      <c r="I241" s="16" t="s">
        <v>114</v>
      </c>
      <c r="J241" s="16" t="s">
        <v>115</v>
      </c>
      <c r="K241" s="16" t="s">
        <v>522</v>
      </c>
      <c r="L241" s="16" t="s">
        <v>116</v>
      </c>
      <c r="M241" s="16" t="s">
        <v>24</v>
      </c>
      <c r="N241" s="16">
        <v>0</v>
      </c>
      <c r="O241" s="16">
        <v>5</v>
      </c>
      <c r="P241" s="16">
        <v>0</v>
      </c>
      <c r="Q241" s="16">
        <f t="shared" si="15"/>
        <v>0</v>
      </c>
      <c r="R241" s="16">
        <f t="shared" si="16"/>
        <v>0</v>
      </c>
      <c r="S241" s="16">
        <f t="shared" si="17"/>
        <v>0</v>
      </c>
      <c r="T241" s="30">
        <f t="shared" si="18"/>
        <v>0</v>
      </c>
      <c r="U241" s="30">
        <f t="shared" si="19"/>
        <v>0</v>
      </c>
    </row>
    <row r="242" spans="1:21" s="16" customFormat="1" ht="20" customHeight="1" x14ac:dyDescent="0.35">
      <c r="A242" s="16" t="s">
        <v>349</v>
      </c>
      <c r="B242" s="28">
        <v>46095</v>
      </c>
      <c r="C242" s="16" t="s">
        <v>42</v>
      </c>
      <c r="D242" s="16" t="s">
        <v>302</v>
      </c>
      <c r="E242" s="29">
        <v>46082</v>
      </c>
      <c r="F242" s="16" t="s">
        <v>112</v>
      </c>
      <c r="G242" s="16" t="s">
        <v>118</v>
      </c>
      <c r="H242" s="16">
        <v>3</v>
      </c>
      <c r="I242" s="16" t="s">
        <v>114</v>
      </c>
      <c r="J242" s="16" t="s">
        <v>115</v>
      </c>
      <c r="K242" s="16" t="s">
        <v>522</v>
      </c>
      <c r="L242" s="16" t="s">
        <v>119</v>
      </c>
      <c r="M242" s="16" t="s">
        <v>24</v>
      </c>
      <c r="N242" s="16">
        <v>0</v>
      </c>
      <c r="O242" s="16">
        <v>0</v>
      </c>
      <c r="P242" s="16">
        <v>3</v>
      </c>
      <c r="Q242" s="16">
        <f t="shared" si="15"/>
        <v>0</v>
      </c>
      <c r="R242" s="16">
        <f t="shared" si="16"/>
        <v>0</v>
      </c>
      <c r="S242" s="16">
        <f t="shared" si="17"/>
        <v>0</v>
      </c>
      <c r="T242" s="30">
        <f t="shared" si="18"/>
        <v>0</v>
      </c>
      <c r="U242" s="30">
        <f t="shared" si="19"/>
        <v>0</v>
      </c>
    </row>
    <row r="243" spans="1:21" s="16" customFormat="1" ht="20" customHeight="1" x14ac:dyDescent="0.35">
      <c r="A243" s="16" t="s">
        <v>350</v>
      </c>
      <c r="B243" s="28">
        <v>46096</v>
      </c>
      <c r="C243" s="16" t="s">
        <v>45</v>
      </c>
      <c r="D243" s="16" t="s">
        <v>302</v>
      </c>
      <c r="E243" s="29">
        <v>46082</v>
      </c>
      <c r="F243" s="16" t="s">
        <v>65</v>
      </c>
      <c r="G243" s="16" t="s">
        <v>139</v>
      </c>
      <c r="H243" s="16">
        <v>48.8</v>
      </c>
      <c r="I243" s="16" t="s">
        <v>21</v>
      </c>
      <c r="J243" s="16" t="s">
        <v>99</v>
      </c>
      <c r="K243" s="16" t="s">
        <v>522</v>
      </c>
      <c r="L243" s="16" t="s">
        <v>160</v>
      </c>
      <c r="M243" s="16" t="s">
        <v>24</v>
      </c>
      <c r="N243" s="16">
        <v>0</v>
      </c>
      <c r="O243" s="16">
        <v>0</v>
      </c>
      <c r="P243" s="16">
        <v>0</v>
      </c>
      <c r="Q243" s="16">
        <f t="shared" si="15"/>
        <v>0</v>
      </c>
      <c r="R243" s="16">
        <f t="shared" si="16"/>
        <v>0</v>
      </c>
      <c r="S243" s="16">
        <f t="shared" si="17"/>
        <v>0</v>
      </c>
      <c r="T243" s="30">
        <f t="shared" si="18"/>
        <v>48800</v>
      </c>
      <c r="U243" s="30">
        <f t="shared" si="19"/>
        <v>0</v>
      </c>
    </row>
    <row r="244" spans="1:21" s="16" customFormat="1" ht="20" customHeight="1" x14ac:dyDescent="0.35">
      <c r="A244" s="16" t="s">
        <v>351</v>
      </c>
      <c r="B244" s="28">
        <v>46096</v>
      </c>
      <c r="C244" s="16" t="s">
        <v>45</v>
      </c>
      <c r="D244" s="16" t="s">
        <v>302</v>
      </c>
      <c r="E244" s="29">
        <v>46082</v>
      </c>
      <c r="F244" s="16" t="s">
        <v>65</v>
      </c>
      <c r="G244" s="16" t="s">
        <v>102</v>
      </c>
      <c r="H244" s="16">
        <v>28</v>
      </c>
      <c r="I244" s="16" t="s">
        <v>84</v>
      </c>
      <c r="J244" s="16" t="s">
        <v>99</v>
      </c>
      <c r="K244" s="16" t="s">
        <v>522</v>
      </c>
      <c r="L244" s="16" t="s">
        <v>160</v>
      </c>
      <c r="M244" s="16" t="s">
        <v>24</v>
      </c>
      <c r="N244" s="16">
        <v>0</v>
      </c>
      <c r="O244" s="16">
        <v>0</v>
      </c>
      <c r="P244" s="16">
        <v>0</v>
      </c>
      <c r="Q244" s="16">
        <f t="shared" si="15"/>
        <v>0</v>
      </c>
      <c r="R244" s="16">
        <f t="shared" si="16"/>
        <v>0</v>
      </c>
      <c r="S244" s="16">
        <f t="shared" si="17"/>
        <v>0</v>
      </c>
      <c r="T244" s="30">
        <f t="shared" si="18"/>
        <v>0</v>
      </c>
      <c r="U244" s="30">
        <f t="shared" si="19"/>
        <v>0</v>
      </c>
    </row>
    <row r="245" spans="1:21" s="16" customFormat="1" ht="20" customHeight="1" x14ac:dyDescent="0.35">
      <c r="A245" s="16" t="s">
        <v>352</v>
      </c>
      <c r="B245" s="28">
        <v>46096</v>
      </c>
      <c r="C245" s="16" t="s">
        <v>45</v>
      </c>
      <c r="D245" s="16" t="s">
        <v>302</v>
      </c>
      <c r="E245" s="29">
        <v>46082</v>
      </c>
      <c r="F245" s="16" t="s">
        <v>65</v>
      </c>
      <c r="G245" s="16" t="s">
        <v>105</v>
      </c>
      <c r="H245" s="16">
        <v>13</v>
      </c>
      <c r="I245" s="16" t="s">
        <v>106</v>
      </c>
      <c r="J245" s="16" t="s">
        <v>99</v>
      </c>
      <c r="K245" s="16" t="s">
        <v>522</v>
      </c>
      <c r="L245" s="16" t="s">
        <v>160</v>
      </c>
      <c r="M245" s="16" t="s">
        <v>24</v>
      </c>
      <c r="N245" s="16">
        <v>0</v>
      </c>
      <c r="O245" s="16">
        <v>0</v>
      </c>
      <c r="P245" s="16">
        <v>0</v>
      </c>
      <c r="Q245" s="16">
        <f t="shared" si="15"/>
        <v>0</v>
      </c>
      <c r="R245" s="16">
        <f t="shared" si="16"/>
        <v>0</v>
      </c>
      <c r="S245" s="16">
        <f t="shared" si="17"/>
        <v>0</v>
      </c>
      <c r="T245" s="30">
        <f t="shared" si="18"/>
        <v>0</v>
      </c>
      <c r="U245" s="30">
        <f t="shared" si="19"/>
        <v>13000</v>
      </c>
    </row>
    <row r="246" spans="1:21" s="16" customFormat="1" ht="20" customHeight="1" x14ac:dyDescent="0.35">
      <c r="A246" s="16" t="s">
        <v>353</v>
      </c>
      <c r="B246" s="28">
        <v>46096</v>
      </c>
      <c r="C246" s="16" t="s">
        <v>45</v>
      </c>
      <c r="D246" s="16" t="s">
        <v>302</v>
      </c>
      <c r="E246" s="29">
        <v>46082</v>
      </c>
      <c r="F246" s="16" t="s">
        <v>65</v>
      </c>
      <c r="G246" s="16" t="s">
        <v>153</v>
      </c>
      <c r="H246" s="16">
        <v>8</v>
      </c>
      <c r="I246" s="16" t="s">
        <v>106</v>
      </c>
      <c r="J246" s="16" t="s">
        <v>99</v>
      </c>
      <c r="K246" s="16" t="s">
        <v>522</v>
      </c>
      <c r="L246" s="16" t="s">
        <v>248</v>
      </c>
      <c r="M246" s="16" t="s">
        <v>24</v>
      </c>
      <c r="N246" s="16">
        <v>0</v>
      </c>
      <c r="O246" s="16">
        <v>0</v>
      </c>
      <c r="P246" s="16">
        <v>0</v>
      </c>
      <c r="Q246" s="16">
        <f t="shared" si="15"/>
        <v>0</v>
      </c>
      <c r="R246" s="16">
        <f t="shared" si="16"/>
        <v>0</v>
      </c>
      <c r="S246" s="16">
        <f t="shared" si="17"/>
        <v>0</v>
      </c>
      <c r="T246" s="30">
        <f t="shared" si="18"/>
        <v>0</v>
      </c>
      <c r="U246" s="30">
        <f t="shared" si="19"/>
        <v>0</v>
      </c>
    </row>
    <row r="247" spans="1:21" s="16" customFormat="1" ht="20" customHeight="1" x14ac:dyDescent="0.35">
      <c r="A247" s="16" t="s">
        <v>354</v>
      </c>
      <c r="B247" s="28">
        <v>46096</v>
      </c>
      <c r="C247" s="16" t="s">
        <v>45</v>
      </c>
      <c r="D247" s="16" t="s">
        <v>302</v>
      </c>
      <c r="E247" s="29">
        <v>46082</v>
      </c>
      <c r="F247" s="16" t="s">
        <v>26</v>
      </c>
      <c r="G247" s="16" t="s">
        <v>27</v>
      </c>
      <c r="H247" s="16">
        <v>16000</v>
      </c>
      <c r="I247" s="16" t="s">
        <v>28</v>
      </c>
      <c r="J247" s="16" t="s">
        <v>29</v>
      </c>
      <c r="K247" s="16" t="s">
        <v>522</v>
      </c>
      <c r="L247" s="16" t="s">
        <v>168</v>
      </c>
      <c r="M247" s="16" t="s">
        <v>24</v>
      </c>
      <c r="N247" s="16">
        <v>16000</v>
      </c>
      <c r="O247" s="16">
        <v>0</v>
      </c>
      <c r="P247" s="16">
        <v>0</v>
      </c>
      <c r="Q247" s="16">
        <f t="shared" si="15"/>
        <v>0</v>
      </c>
      <c r="R247" s="16">
        <f t="shared" si="16"/>
        <v>0</v>
      </c>
      <c r="S247" s="16">
        <f t="shared" si="17"/>
        <v>0</v>
      </c>
      <c r="T247" s="30">
        <f t="shared" si="18"/>
        <v>0</v>
      </c>
      <c r="U247" s="30">
        <f t="shared" si="19"/>
        <v>0</v>
      </c>
    </row>
    <row r="248" spans="1:21" s="16" customFormat="1" ht="20" customHeight="1" x14ac:dyDescent="0.35">
      <c r="A248" s="16" t="s">
        <v>356</v>
      </c>
      <c r="B248" s="28">
        <v>46096</v>
      </c>
      <c r="C248" s="16" t="s">
        <v>45</v>
      </c>
      <c r="D248" s="16" t="s">
        <v>302</v>
      </c>
      <c r="E248" s="29">
        <v>46082</v>
      </c>
      <c r="F248" s="16" t="s">
        <v>112</v>
      </c>
      <c r="G248" s="16" t="s">
        <v>113</v>
      </c>
      <c r="H248" s="16">
        <v>6</v>
      </c>
      <c r="I248" s="16" t="s">
        <v>114</v>
      </c>
      <c r="J248" s="16" t="s">
        <v>115</v>
      </c>
      <c r="K248" s="16" t="s">
        <v>522</v>
      </c>
      <c r="L248" s="16" t="s">
        <v>116</v>
      </c>
      <c r="M248" s="16" t="s">
        <v>24</v>
      </c>
      <c r="N248" s="16">
        <v>0</v>
      </c>
      <c r="O248" s="16">
        <v>6</v>
      </c>
      <c r="P248" s="16">
        <v>0</v>
      </c>
      <c r="Q248" s="16">
        <f t="shared" si="15"/>
        <v>0</v>
      </c>
      <c r="R248" s="16">
        <f t="shared" si="16"/>
        <v>0</v>
      </c>
      <c r="S248" s="16">
        <f t="shared" si="17"/>
        <v>0</v>
      </c>
      <c r="T248" s="30">
        <f t="shared" si="18"/>
        <v>0</v>
      </c>
      <c r="U248" s="30">
        <f t="shared" si="19"/>
        <v>0</v>
      </c>
    </row>
    <row r="249" spans="1:21" s="16" customFormat="1" ht="20" customHeight="1" x14ac:dyDescent="0.35">
      <c r="A249" s="16" t="s">
        <v>358</v>
      </c>
      <c r="B249" s="28">
        <v>46096</v>
      </c>
      <c r="C249" s="16" t="s">
        <v>45</v>
      </c>
      <c r="D249" s="16" t="s">
        <v>302</v>
      </c>
      <c r="E249" s="29">
        <v>46082</v>
      </c>
      <c r="F249" s="16" t="s">
        <v>112</v>
      </c>
      <c r="G249" s="16" t="s">
        <v>118</v>
      </c>
      <c r="H249" s="16">
        <v>4</v>
      </c>
      <c r="I249" s="16" t="s">
        <v>114</v>
      </c>
      <c r="J249" s="16" t="s">
        <v>115</v>
      </c>
      <c r="K249" s="16" t="s">
        <v>522</v>
      </c>
      <c r="L249" s="16" t="s">
        <v>119</v>
      </c>
      <c r="M249" s="16" t="s">
        <v>24</v>
      </c>
      <c r="N249" s="16">
        <v>0</v>
      </c>
      <c r="O249" s="16">
        <v>0</v>
      </c>
      <c r="P249" s="16">
        <v>4</v>
      </c>
      <c r="Q249" s="16">
        <f t="shared" si="15"/>
        <v>0</v>
      </c>
      <c r="R249" s="16">
        <f t="shared" si="16"/>
        <v>0</v>
      </c>
      <c r="S249" s="16">
        <f t="shared" si="17"/>
        <v>0</v>
      </c>
      <c r="T249" s="30">
        <f t="shared" si="18"/>
        <v>0</v>
      </c>
      <c r="U249" s="30">
        <f t="shared" si="19"/>
        <v>0</v>
      </c>
    </row>
    <row r="250" spans="1:21" s="16" customFormat="1" ht="20" customHeight="1" x14ac:dyDescent="0.35">
      <c r="A250" s="16" t="s">
        <v>360</v>
      </c>
      <c r="B250" s="28">
        <v>46097</v>
      </c>
      <c r="C250" s="16" t="s">
        <v>50</v>
      </c>
      <c r="D250" s="16" t="s">
        <v>355</v>
      </c>
      <c r="E250" s="29">
        <v>46082</v>
      </c>
      <c r="F250" s="16" t="s">
        <v>65</v>
      </c>
      <c r="G250" s="16" t="s">
        <v>139</v>
      </c>
      <c r="H250" s="16">
        <v>27.4</v>
      </c>
      <c r="I250" s="16" t="s">
        <v>21</v>
      </c>
      <c r="J250" s="16" t="s">
        <v>99</v>
      </c>
      <c r="K250" s="16" t="s">
        <v>522</v>
      </c>
      <c r="L250" s="16" t="s">
        <v>160</v>
      </c>
      <c r="M250" s="16" t="s">
        <v>24</v>
      </c>
      <c r="N250" s="16">
        <v>0</v>
      </c>
      <c r="O250" s="16">
        <v>0</v>
      </c>
      <c r="P250" s="16">
        <v>0</v>
      </c>
      <c r="Q250" s="16">
        <f t="shared" si="15"/>
        <v>0</v>
      </c>
      <c r="R250" s="16">
        <f t="shared" si="16"/>
        <v>0</v>
      </c>
      <c r="S250" s="16">
        <f t="shared" si="17"/>
        <v>0</v>
      </c>
      <c r="T250" s="30">
        <f t="shared" si="18"/>
        <v>27400</v>
      </c>
      <c r="U250" s="30">
        <f t="shared" si="19"/>
        <v>0</v>
      </c>
    </row>
    <row r="251" spans="1:21" s="16" customFormat="1" ht="20" customHeight="1" x14ac:dyDescent="0.35">
      <c r="A251" s="16" t="s">
        <v>361</v>
      </c>
      <c r="B251" s="28">
        <v>46097</v>
      </c>
      <c r="C251" s="16" t="s">
        <v>50</v>
      </c>
      <c r="D251" s="16" t="s">
        <v>355</v>
      </c>
      <c r="E251" s="29">
        <v>46082</v>
      </c>
      <c r="F251" s="16" t="s">
        <v>65</v>
      </c>
      <c r="G251" s="16" t="s">
        <v>102</v>
      </c>
      <c r="H251" s="16">
        <v>25</v>
      </c>
      <c r="I251" s="16" t="s">
        <v>84</v>
      </c>
      <c r="J251" s="16" t="s">
        <v>99</v>
      </c>
      <c r="K251" s="16" t="s">
        <v>522</v>
      </c>
      <c r="L251" s="16" t="s">
        <v>357</v>
      </c>
      <c r="M251" s="16" t="s">
        <v>24</v>
      </c>
      <c r="N251" s="16">
        <v>0</v>
      </c>
      <c r="O251" s="16">
        <v>0</v>
      </c>
      <c r="P251" s="16">
        <v>0</v>
      </c>
      <c r="Q251" s="16">
        <f t="shared" si="15"/>
        <v>0</v>
      </c>
      <c r="R251" s="16">
        <f t="shared" si="16"/>
        <v>0</v>
      </c>
      <c r="S251" s="16">
        <f t="shared" si="17"/>
        <v>0</v>
      </c>
      <c r="T251" s="30">
        <f t="shared" si="18"/>
        <v>0</v>
      </c>
      <c r="U251" s="30">
        <f t="shared" si="19"/>
        <v>0</v>
      </c>
    </row>
    <row r="252" spans="1:21" s="16" customFormat="1" ht="20" customHeight="1" x14ac:dyDescent="0.35">
      <c r="A252" s="16" t="s">
        <v>362</v>
      </c>
      <c r="B252" s="28">
        <v>46097</v>
      </c>
      <c r="C252" s="16" t="s">
        <v>50</v>
      </c>
      <c r="D252" s="16" t="s">
        <v>355</v>
      </c>
      <c r="E252" s="29">
        <v>46082</v>
      </c>
      <c r="F252" s="16" t="s">
        <v>65</v>
      </c>
      <c r="G252" s="16" t="s">
        <v>105</v>
      </c>
      <c r="H252" s="16">
        <v>11</v>
      </c>
      <c r="I252" s="16" t="s">
        <v>106</v>
      </c>
      <c r="J252" s="16" t="s">
        <v>99</v>
      </c>
      <c r="K252" s="16" t="s">
        <v>522</v>
      </c>
      <c r="L252" s="16" t="s">
        <v>359</v>
      </c>
      <c r="M252" s="16" t="s">
        <v>24</v>
      </c>
      <c r="N252" s="16">
        <v>0</v>
      </c>
      <c r="O252" s="16">
        <v>0</v>
      </c>
      <c r="P252" s="16">
        <v>0</v>
      </c>
      <c r="Q252" s="16">
        <f t="shared" si="15"/>
        <v>0</v>
      </c>
      <c r="R252" s="16">
        <f t="shared" si="16"/>
        <v>0</v>
      </c>
      <c r="S252" s="16">
        <f t="shared" si="17"/>
        <v>0</v>
      </c>
      <c r="T252" s="30">
        <f t="shared" si="18"/>
        <v>0</v>
      </c>
      <c r="U252" s="30">
        <f t="shared" si="19"/>
        <v>11000</v>
      </c>
    </row>
    <row r="253" spans="1:21" s="16" customFormat="1" ht="20" customHeight="1" x14ac:dyDescent="0.35">
      <c r="A253" s="16" t="s">
        <v>363</v>
      </c>
      <c r="B253" s="28">
        <v>46097</v>
      </c>
      <c r="C253" s="16" t="s">
        <v>50</v>
      </c>
      <c r="D253" s="16" t="s">
        <v>355</v>
      </c>
      <c r="E253" s="29">
        <v>46082</v>
      </c>
      <c r="F253" s="16" t="s">
        <v>65</v>
      </c>
      <c r="G253" s="16" t="s">
        <v>153</v>
      </c>
      <c r="H253" s="16">
        <v>3</v>
      </c>
      <c r="I253" s="16" t="s">
        <v>106</v>
      </c>
      <c r="J253" s="16" t="s">
        <v>99</v>
      </c>
      <c r="K253" s="16" t="s">
        <v>522</v>
      </c>
      <c r="L253" s="16" t="s">
        <v>248</v>
      </c>
      <c r="M253" s="16" t="s">
        <v>24</v>
      </c>
      <c r="N253" s="16">
        <v>0</v>
      </c>
      <c r="O253" s="16">
        <v>0</v>
      </c>
      <c r="P253" s="16">
        <v>0</v>
      </c>
      <c r="Q253" s="16">
        <f t="shared" si="15"/>
        <v>0</v>
      </c>
      <c r="R253" s="16">
        <f t="shared" si="16"/>
        <v>0</v>
      </c>
      <c r="S253" s="16">
        <f t="shared" si="17"/>
        <v>0</v>
      </c>
      <c r="T253" s="30">
        <f t="shared" si="18"/>
        <v>0</v>
      </c>
      <c r="U253" s="30">
        <f t="shared" si="19"/>
        <v>0</v>
      </c>
    </row>
    <row r="254" spans="1:21" s="16" customFormat="1" ht="20" customHeight="1" x14ac:dyDescent="0.35">
      <c r="A254" s="16" t="s">
        <v>364</v>
      </c>
      <c r="B254" s="28">
        <v>46097</v>
      </c>
      <c r="C254" s="16" t="s">
        <v>50</v>
      </c>
      <c r="D254" s="16" t="s">
        <v>355</v>
      </c>
      <c r="E254" s="29">
        <v>46082</v>
      </c>
      <c r="F254" s="16" t="s">
        <v>26</v>
      </c>
      <c r="G254" s="16" t="s">
        <v>27</v>
      </c>
      <c r="H254" s="16">
        <v>12000</v>
      </c>
      <c r="I254" s="16" t="s">
        <v>28</v>
      </c>
      <c r="J254" s="16" t="s">
        <v>29</v>
      </c>
      <c r="K254" s="16" t="s">
        <v>522</v>
      </c>
      <c r="L254" s="16" t="s">
        <v>168</v>
      </c>
      <c r="M254" s="16" t="s">
        <v>24</v>
      </c>
      <c r="N254" s="16">
        <v>12000</v>
      </c>
      <c r="O254" s="16">
        <v>0</v>
      </c>
      <c r="P254" s="16">
        <v>0</v>
      </c>
      <c r="Q254" s="16">
        <f t="shared" si="15"/>
        <v>0</v>
      </c>
      <c r="R254" s="16">
        <f t="shared" si="16"/>
        <v>0</v>
      </c>
      <c r="S254" s="16">
        <f t="shared" si="17"/>
        <v>0</v>
      </c>
      <c r="T254" s="30">
        <f t="shared" si="18"/>
        <v>0</v>
      </c>
      <c r="U254" s="30">
        <f t="shared" si="19"/>
        <v>0</v>
      </c>
    </row>
    <row r="255" spans="1:21" s="16" customFormat="1" ht="20" customHeight="1" x14ac:dyDescent="0.35">
      <c r="A255" s="16" t="s">
        <v>365</v>
      </c>
      <c r="B255" s="28">
        <v>46097</v>
      </c>
      <c r="C255" s="16" t="s">
        <v>50</v>
      </c>
      <c r="D255" s="16" t="s">
        <v>355</v>
      </c>
      <c r="E255" s="29">
        <v>46082</v>
      </c>
      <c r="F255" s="16" t="s">
        <v>112</v>
      </c>
      <c r="G255" s="16" t="s">
        <v>113</v>
      </c>
      <c r="H255" s="16">
        <v>5</v>
      </c>
      <c r="I255" s="16" t="s">
        <v>114</v>
      </c>
      <c r="J255" s="16" t="s">
        <v>115</v>
      </c>
      <c r="K255" s="16" t="s">
        <v>522</v>
      </c>
      <c r="L255" s="16" t="s">
        <v>116</v>
      </c>
      <c r="M255" s="16" t="s">
        <v>24</v>
      </c>
      <c r="N255" s="16">
        <v>0</v>
      </c>
      <c r="O255" s="16">
        <v>5</v>
      </c>
      <c r="P255" s="16">
        <v>0</v>
      </c>
      <c r="Q255" s="16">
        <f t="shared" si="15"/>
        <v>0</v>
      </c>
      <c r="R255" s="16">
        <f t="shared" si="16"/>
        <v>0</v>
      </c>
      <c r="S255" s="16">
        <f t="shared" si="17"/>
        <v>0</v>
      </c>
      <c r="T255" s="30">
        <f t="shared" si="18"/>
        <v>0</v>
      </c>
      <c r="U255" s="30">
        <f t="shared" si="19"/>
        <v>0</v>
      </c>
    </row>
    <row r="256" spans="1:21" s="16" customFormat="1" ht="20" customHeight="1" x14ac:dyDescent="0.35">
      <c r="A256" s="16" t="s">
        <v>367</v>
      </c>
      <c r="B256" s="28">
        <v>46097</v>
      </c>
      <c r="C256" s="16" t="s">
        <v>50</v>
      </c>
      <c r="D256" s="16" t="s">
        <v>355</v>
      </c>
      <c r="E256" s="29">
        <v>46082</v>
      </c>
      <c r="F256" s="16" t="s">
        <v>112</v>
      </c>
      <c r="G256" s="16" t="s">
        <v>118</v>
      </c>
      <c r="H256" s="16">
        <v>3</v>
      </c>
      <c r="I256" s="16" t="s">
        <v>114</v>
      </c>
      <c r="J256" s="16" t="s">
        <v>115</v>
      </c>
      <c r="K256" s="16" t="s">
        <v>522</v>
      </c>
      <c r="L256" s="16" t="s">
        <v>119</v>
      </c>
      <c r="M256" s="16" t="s">
        <v>24</v>
      </c>
      <c r="N256" s="16">
        <v>0</v>
      </c>
      <c r="O256" s="16">
        <v>0</v>
      </c>
      <c r="P256" s="16">
        <v>3</v>
      </c>
      <c r="Q256" s="16">
        <f t="shared" si="15"/>
        <v>0</v>
      </c>
      <c r="R256" s="16">
        <f t="shared" si="16"/>
        <v>0</v>
      </c>
      <c r="S256" s="16">
        <f t="shared" si="17"/>
        <v>0</v>
      </c>
      <c r="T256" s="30">
        <f t="shared" si="18"/>
        <v>0</v>
      </c>
      <c r="U256" s="30">
        <f t="shared" si="19"/>
        <v>0</v>
      </c>
    </row>
    <row r="257" spans="1:21" s="16" customFormat="1" ht="20" customHeight="1" x14ac:dyDescent="0.35">
      <c r="A257" s="16" t="s">
        <v>368</v>
      </c>
      <c r="B257" s="28">
        <v>46098</v>
      </c>
      <c r="C257" s="16" t="s">
        <v>17</v>
      </c>
      <c r="D257" s="16" t="s">
        <v>355</v>
      </c>
      <c r="E257" s="29">
        <v>46082</v>
      </c>
      <c r="F257" s="16" t="s">
        <v>65</v>
      </c>
      <c r="G257" s="16" t="s">
        <v>139</v>
      </c>
      <c r="H257" s="16">
        <v>20.5</v>
      </c>
      <c r="I257" s="16" t="s">
        <v>21</v>
      </c>
      <c r="J257" s="16" t="s">
        <v>99</v>
      </c>
      <c r="K257" s="16" t="s">
        <v>522</v>
      </c>
      <c r="L257" s="16" t="s">
        <v>160</v>
      </c>
      <c r="M257" s="16" t="s">
        <v>24</v>
      </c>
      <c r="N257" s="16">
        <v>0</v>
      </c>
      <c r="O257" s="16">
        <v>0</v>
      </c>
      <c r="P257" s="16">
        <v>0</v>
      </c>
      <c r="Q257" s="16">
        <f t="shared" si="15"/>
        <v>0</v>
      </c>
      <c r="R257" s="16">
        <f t="shared" si="16"/>
        <v>0</v>
      </c>
      <c r="S257" s="16">
        <f t="shared" si="17"/>
        <v>0</v>
      </c>
      <c r="T257" s="30">
        <f t="shared" si="18"/>
        <v>20500</v>
      </c>
      <c r="U257" s="30">
        <f t="shared" si="19"/>
        <v>0</v>
      </c>
    </row>
    <row r="258" spans="1:21" s="16" customFormat="1" ht="20" customHeight="1" x14ac:dyDescent="0.35">
      <c r="A258" s="16" t="s">
        <v>369</v>
      </c>
      <c r="B258" s="28">
        <v>46098</v>
      </c>
      <c r="C258" s="16" t="s">
        <v>17</v>
      </c>
      <c r="D258" s="16" t="s">
        <v>355</v>
      </c>
      <c r="E258" s="29">
        <v>46082</v>
      </c>
      <c r="F258" s="16" t="s">
        <v>65</v>
      </c>
      <c r="G258" s="16" t="s">
        <v>102</v>
      </c>
      <c r="H258" s="16">
        <v>28</v>
      </c>
      <c r="I258" s="16" t="s">
        <v>84</v>
      </c>
      <c r="J258" s="16" t="s">
        <v>99</v>
      </c>
      <c r="K258" s="16" t="s">
        <v>522</v>
      </c>
      <c r="L258" s="16" t="s">
        <v>366</v>
      </c>
      <c r="M258" s="16" t="s">
        <v>24</v>
      </c>
      <c r="N258" s="16">
        <v>0</v>
      </c>
      <c r="O258" s="16">
        <v>0</v>
      </c>
      <c r="P258" s="16">
        <v>0</v>
      </c>
      <c r="Q258" s="16">
        <f t="shared" ref="Q258:Q321" si="20">IF(AND(OR(F258="Work",F258="Adjustment"),OR(ISNUMBER(SEARCH("Excavation",G258)),G258="Excavation Repair")),IF(K258="Chairman Street",800,IF(K258="INEC Street",1000,0)),0)</f>
        <v>0</v>
      </c>
      <c r="R258" s="16">
        <f t="shared" ref="R258:R321" si="21">IF(AND(OR(F258="Work", F258="Adjustment"), OR(ISNUMBER(SEARCH("Excavation", G258)), G258="Excavation Repair")), H258 * IF(K258="Site A", 800, IF(K258="Site B", 1000, 0)), 0)</f>
        <v>0</v>
      </c>
      <c r="S258" s="16">
        <f t="shared" ref="S258:S321" si="22">IF(G258="Base Casting",H258*500,0)</f>
        <v>0</v>
      </c>
      <c r="T258" s="30">
        <f t="shared" ref="T258:T321" si="23">IF(G258="Wall Casting",H258*1000,0)</f>
        <v>0</v>
      </c>
      <c r="U258" s="30">
        <f t="shared" ref="U258:U321" si="24">IF(G258="Water Supply",H258*1000,0)</f>
        <v>0</v>
      </c>
    </row>
    <row r="259" spans="1:21" s="16" customFormat="1" ht="20" customHeight="1" x14ac:dyDescent="0.35">
      <c r="A259" s="16" t="s">
        <v>370</v>
      </c>
      <c r="B259" s="28">
        <v>46098</v>
      </c>
      <c r="C259" s="16" t="s">
        <v>17</v>
      </c>
      <c r="D259" s="16" t="s">
        <v>355</v>
      </c>
      <c r="E259" s="29">
        <v>46082</v>
      </c>
      <c r="F259" s="16" t="s">
        <v>65</v>
      </c>
      <c r="G259" s="16" t="s">
        <v>105</v>
      </c>
      <c r="H259" s="16">
        <v>10</v>
      </c>
      <c r="I259" s="16" t="s">
        <v>106</v>
      </c>
      <c r="J259" s="16" t="s">
        <v>99</v>
      </c>
      <c r="K259" s="16" t="s">
        <v>522</v>
      </c>
      <c r="L259" s="16" t="s">
        <v>359</v>
      </c>
      <c r="M259" s="16" t="s">
        <v>24</v>
      </c>
      <c r="N259" s="16">
        <v>0</v>
      </c>
      <c r="O259" s="16">
        <v>0</v>
      </c>
      <c r="P259" s="16">
        <v>0</v>
      </c>
      <c r="Q259" s="16">
        <f t="shared" si="20"/>
        <v>0</v>
      </c>
      <c r="R259" s="16">
        <f t="shared" si="21"/>
        <v>0</v>
      </c>
      <c r="S259" s="16">
        <f t="shared" si="22"/>
        <v>0</v>
      </c>
      <c r="T259" s="30">
        <f t="shared" si="23"/>
        <v>0</v>
      </c>
      <c r="U259" s="30">
        <f t="shared" si="24"/>
        <v>10000</v>
      </c>
    </row>
    <row r="260" spans="1:21" s="16" customFormat="1" ht="20" customHeight="1" x14ac:dyDescent="0.35">
      <c r="A260" s="16" t="s">
        <v>371</v>
      </c>
      <c r="B260" s="28">
        <v>46098</v>
      </c>
      <c r="C260" s="16" t="s">
        <v>17</v>
      </c>
      <c r="D260" s="16" t="s">
        <v>355</v>
      </c>
      <c r="E260" s="29">
        <v>46082</v>
      </c>
      <c r="F260" s="16" t="s">
        <v>26</v>
      </c>
      <c r="G260" s="16" t="s">
        <v>27</v>
      </c>
      <c r="H260" s="16">
        <v>12000</v>
      </c>
      <c r="I260" s="16" t="s">
        <v>28</v>
      </c>
      <c r="J260" s="16" t="s">
        <v>29</v>
      </c>
      <c r="K260" s="16" t="s">
        <v>522</v>
      </c>
      <c r="L260" s="16" t="s">
        <v>168</v>
      </c>
      <c r="M260" s="16" t="s">
        <v>24</v>
      </c>
      <c r="N260" s="16">
        <v>12000</v>
      </c>
      <c r="O260" s="16">
        <v>0</v>
      </c>
      <c r="P260" s="16">
        <v>0</v>
      </c>
      <c r="Q260" s="16">
        <f t="shared" si="20"/>
        <v>0</v>
      </c>
      <c r="R260" s="16">
        <f t="shared" si="21"/>
        <v>0</v>
      </c>
      <c r="S260" s="16">
        <f t="shared" si="22"/>
        <v>0</v>
      </c>
      <c r="T260" s="30">
        <f t="shared" si="23"/>
        <v>0</v>
      </c>
      <c r="U260" s="30">
        <f t="shared" si="24"/>
        <v>0</v>
      </c>
    </row>
    <row r="261" spans="1:21" s="16" customFormat="1" ht="20" customHeight="1" x14ac:dyDescent="0.35">
      <c r="A261" s="16" t="s">
        <v>373</v>
      </c>
      <c r="B261" s="28">
        <v>46098</v>
      </c>
      <c r="C261" s="16" t="s">
        <v>17</v>
      </c>
      <c r="D261" s="16" t="s">
        <v>355</v>
      </c>
      <c r="E261" s="29">
        <v>46082</v>
      </c>
      <c r="F261" s="16" t="s">
        <v>112</v>
      </c>
      <c r="G261" s="16" t="s">
        <v>113</v>
      </c>
      <c r="H261" s="16">
        <v>5</v>
      </c>
      <c r="I261" s="16" t="s">
        <v>114</v>
      </c>
      <c r="J261" s="16" t="s">
        <v>115</v>
      </c>
      <c r="K261" s="16" t="s">
        <v>522</v>
      </c>
      <c r="L261" s="16" t="s">
        <v>116</v>
      </c>
      <c r="M261" s="16" t="s">
        <v>24</v>
      </c>
      <c r="N261" s="16">
        <v>0</v>
      </c>
      <c r="O261" s="16">
        <v>5</v>
      </c>
      <c r="P261" s="16">
        <v>0</v>
      </c>
      <c r="Q261" s="16">
        <f t="shared" si="20"/>
        <v>0</v>
      </c>
      <c r="R261" s="16">
        <f t="shared" si="21"/>
        <v>0</v>
      </c>
      <c r="S261" s="16">
        <f t="shared" si="22"/>
        <v>0</v>
      </c>
      <c r="T261" s="30">
        <f t="shared" si="23"/>
        <v>0</v>
      </c>
      <c r="U261" s="30">
        <f t="shared" si="24"/>
        <v>0</v>
      </c>
    </row>
    <row r="262" spans="1:21" s="16" customFormat="1" ht="20" customHeight="1" x14ac:dyDescent="0.35">
      <c r="A262" s="16" t="s">
        <v>374</v>
      </c>
      <c r="B262" s="28">
        <v>46098</v>
      </c>
      <c r="C262" s="16" t="s">
        <v>17</v>
      </c>
      <c r="D262" s="16" t="s">
        <v>355</v>
      </c>
      <c r="E262" s="29">
        <v>46082</v>
      </c>
      <c r="F262" s="16" t="s">
        <v>112</v>
      </c>
      <c r="G262" s="16" t="s">
        <v>118</v>
      </c>
      <c r="H262" s="16">
        <v>3</v>
      </c>
      <c r="I262" s="16" t="s">
        <v>114</v>
      </c>
      <c r="J262" s="16" t="s">
        <v>115</v>
      </c>
      <c r="K262" s="16" t="s">
        <v>522</v>
      </c>
      <c r="L262" s="16" t="s">
        <v>119</v>
      </c>
      <c r="M262" s="16" t="s">
        <v>24</v>
      </c>
      <c r="N262" s="16">
        <v>0</v>
      </c>
      <c r="O262" s="16">
        <v>0</v>
      </c>
      <c r="P262" s="16">
        <v>3</v>
      </c>
      <c r="Q262" s="16">
        <f t="shared" si="20"/>
        <v>0</v>
      </c>
      <c r="R262" s="16">
        <f t="shared" si="21"/>
        <v>0</v>
      </c>
      <c r="S262" s="16">
        <f t="shared" si="22"/>
        <v>0</v>
      </c>
      <c r="T262" s="30">
        <f t="shared" si="23"/>
        <v>0</v>
      </c>
      <c r="U262" s="30">
        <f t="shared" si="24"/>
        <v>0</v>
      </c>
    </row>
    <row r="263" spans="1:21" s="16" customFormat="1" ht="20" customHeight="1" x14ac:dyDescent="0.35">
      <c r="A263" s="16" t="s">
        <v>375</v>
      </c>
      <c r="B263" s="28">
        <v>46109</v>
      </c>
      <c r="C263" s="16" t="s">
        <v>42</v>
      </c>
      <c r="D263" s="16" t="s">
        <v>372</v>
      </c>
      <c r="E263" s="29">
        <v>46082</v>
      </c>
      <c r="F263" s="16" t="s">
        <v>65</v>
      </c>
      <c r="G263" s="16" t="s">
        <v>139</v>
      </c>
      <c r="H263" s="16">
        <v>50.5</v>
      </c>
      <c r="I263" s="16" t="s">
        <v>21</v>
      </c>
      <c r="J263" s="16" t="s">
        <v>99</v>
      </c>
      <c r="K263" s="16" t="s">
        <v>522</v>
      </c>
      <c r="L263" s="16" t="s">
        <v>160</v>
      </c>
      <c r="M263" s="16" t="s">
        <v>24</v>
      </c>
      <c r="N263" s="16">
        <v>0</v>
      </c>
      <c r="O263" s="16">
        <v>0</v>
      </c>
      <c r="P263" s="16">
        <v>0</v>
      </c>
      <c r="Q263" s="16">
        <f t="shared" si="20"/>
        <v>0</v>
      </c>
      <c r="R263" s="16">
        <f t="shared" si="21"/>
        <v>0</v>
      </c>
      <c r="S263" s="16">
        <f t="shared" si="22"/>
        <v>0</v>
      </c>
      <c r="T263" s="30">
        <f t="shared" si="23"/>
        <v>50500</v>
      </c>
      <c r="U263" s="30">
        <f t="shared" si="24"/>
        <v>0</v>
      </c>
    </row>
    <row r="264" spans="1:21" s="16" customFormat="1" ht="20" customHeight="1" x14ac:dyDescent="0.35">
      <c r="A264" s="16" t="s">
        <v>376</v>
      </c>
      <c r="B264" s="28">
        <v>46109</v>
      </c>
      <c r="C264" s="16" t="s">
        <v>42</v>
      </c>
      <c r="D264" s="16" t="s">
        <v>372</v>
      </c>
      <c r="E264" s="29">
        <v>46082</v>
      </c>
      <c r="F264" s="16" t="s">
        <v>65</v>
      </c>
      <c r="G264" s="16" t="s">
        <v>102</v>
      </c>
      <c r="H264" s="16">
        <v>20.5</v>
      </c>
      <c r="I264" s="16" t="s">
        <v>84</v>
      </c>
      <c r="J264" s="16" t="s">
        <v>99</v>
      </c>
      <c r="K264" s="16" t="s">
        <v>522</v>
      </c>
      <c r="L264" s="16" t="s">
        <v>160</v>
      </c>
      <c r="M264" s="16" t="s">
        <v>24</v>
      </c>
      <c r="N264" s="16">
        <v>0</v>
      </c>
      <c r="O264" s="16">
        <v>0</v>
      </c>
      <c r="P264" s="16">
        <v>0</v>
      </c>
      <c r="Q264" s="16">
        <f t="shared" si="20"/>
        <v>0</v>
      </c>
      <c r="R264" s="16">
        <f t="shared" si="21"/>
        <v>0</v>
      </c>
      <c r="S264" s="16">
        <f t="shared" si="22"/>
        <v>0</v>
      </c>
      <c r="T264" s="30">
        <f t="shared" si="23"/>
        <v>0</v>
      </c>
      <c r="U264" s="30">
        <f t="shared" si="24"/>
        <v>0</v>
      </c>
    </row>
    <row r="265" spans="1:21" s="16" customFormat="1" ht="20" customHeight="1" x14ac:dyDescent="0.35">
      <c r="A265" s="16" t="s">
        <v>377</v>
      </c>
      <c r="B265" s="28">
        <v>46109</v>
      </c>
      <c r="C265" s="16" t="s">
        <v>42</v>
      </c>
      <c r="D265" s="16" t="s">
        <v>372</v>
      </c>
      <c r="E265" s="29">
        <v>46082</v>
      </c>
      <c r="F265" s="16" t="s">
        <v>65</v>
      </c>
      <c r="G265" s="16" t="s">
        <v>105</v>
      </c>
      <c r="H265" s="16">
        <v>15</v>
      </c>
      <c r="I265" s="16" t="s">
        <v>106</v>
      </c>
      <c r="J265" s="16" t="s">
        <v>99</v>
      </c>
      <c r="K265" s="16" t="s">
        <v>522</v>
      </c>
      <c r="L265" s="16" t="s">
        <v>160</v>
      </c>
      <c r="M265" s="16" t="s">
        <v>24</v>
      </c>
      <c r="N265" s="16">
        <v>0</v>
      </c>
      <c r="O265" s="16">
        <v>0</v>
      </c>
      <c r="P265" s="16">
        <v>0</v>
      </c>
      <c r="Q265" s="16">
        <f t="shared" si="20"/>
        <v>0</v>
      </c>
      <c r="R265" s="16">
        <f t="shared" si="21"/>
        <v>0</v>
      </c>
      <c r="S265" s="16">
        <f t="shared" si="22"/>
        <v>0</v>
      </c>
      <c r="T265" s="30">
        <f t="shared" si="23"/>
        <v>0</v>
      </c>
      <c r="U265" s="30">
        <f t="shared" si="24"/>
        <v>15000</v>
      </c>
    </row>
    <row r="266" spans="1:21" s="16" customFormat="1" ht="20" customHeight="1" x14ac:dyDescent="0.35">
      <c r="A266" s="16" t="s">
        <v>378</v>
      </c>
      <c r="B266" s="28">
        <v>46109</v>
      </c>
      <c r="C266" s="16" t="s">
        <v>42</v>
      </c>
      <c r="D266" s="16" t="s">
        <v>372</v>
      </c>
      <c r="E266" s="29">
        <v>46082</v>
      </c>
      <c r="F266" s="16" t="s">
        <v>26</v>
      </c>
      <c r="G266" s="16" t="s">
        <v>27</v>
      </c>
      <c r="H266" s="16">
        <v>14000</v>
      </c>
      <c r="I266" s="16" t="s">
        <v>28</v>
      </c>
      <c r="J266" s="16" t="s">
        <v>29</v>
      </c>
      <c r="K266" s="16" t="s">
        <v>522</v>
      </c>
      <c r="L266" s="16" t="s">
        <v>168</v>
      </c>
      <c r="M266" s="16" t="s">
        <v>24</v>
      </c>
      <c r="N266" s="16">
        <v>14000</v>
      </c>
      <c r="O266" s="16">
        <v>0</v>
      </c>
      <c r="P266" s="16">
        <v>0</v>
      </c>
      <c r="Q266" s="16">
        <f t="shared" si="20"/>
        <v>0</v>
      </c>
      <c r="R266" s="16">
        <f t="shared" si="21"/>
        <v>0</v>
      </c>
      <c r="S266" s="16">
        <f t="shared" si="22"/>
        <v>0</v>
      </c>
      <c r="T266" s="30">
        <f t="shared" si="23"/>
        <v>0</v>
      </c>
      <c r="U266" s="30">
        <f t="shared" si="24"/>
        <v>0</v>
      </c>
    </row>
    <row r="267" spans="1:21" s="16" customFormat="1" ht="20" customHeight="1" x14ac:dyDescent="0.35">
      <c r="A267" s="16" t="s">
        <v>379</v>
      </c>
      <c r="B267" s="28">
        <v>46109</v>
      </c>
      <c r="C267" s="16" t="s">
        <v>42</v>
      </c>
      <c r="D267" s="16" t="s">
        <v>372</v>
      </c>
      <c r="E267" s="29">
        <v>46082</v>
      </c>
      <c r="F267" s="16" t="s">
        <v>112</v>
      </c>
      <c r="G267" s="16" t="s">
        <v>113</v>
      </c>
      <c r="H267" s="16">
        <v>6</v>
      </c>
      <c r="I267" s="16" t="s">
        <v>114</v>
      </c>
      <c r="J267" s="16" t="s">
        <v>115</v>
      </c>
      <c r="K267" s="16" t="s">
        <v>522</v>
      </c>
      <c r="L267" s="16" t="s">
        <v>116</v>
      </c>
      <c r="M267" s="16" t="s">
        <v>24</v>
      </c>
      <c r="N267" s="16">
        <v>0</v>
      </c>
      <c r="O267" s="16">
        <v>6</v>
      </c>
      <c r="P267" s="16">
        <v>0</v>
      </c>
      <c r="Q267" s="16">
        <f t="shared" si="20"/>
        <v>0</v>
      </c>
      <c r="R267" s="16">
        <f t="shared" si="21"/>
        <v>0</v>
      </c>
      <c r="S267" s="16">
        <f t="shared" si="22"/>
        <v>0</v>
      </c>
      <c r="T267" s="30">
        <f t="shared" si="23"/>
        <v>0</v>
      </c>
      <c r="U267" s="30">
        <f t="shared" si="24"/>
        <v>0</v>
      </c>
    </row>
    <row r="268" spans="1:21" s="16" customFormat="1" ht="20" customHeight="1" x14ac:dyDescent="0.35">
      <c r="A268" s="16" t="s">
        <v>380</v>
      </c>
      <c r="B268" s="28">
        <v>46109</v>
      </c>
      <c r="C268" s="16" t="s">
        <v>42</v>
      </c>
      <c r="D268" s="16" t="s">
        <v>372</v>
      </c>
      <c r="E268" s="29">
        <v>46082</v>
      </c>
      <c r="F268" s="16" t="s">
        <v>112</v>
      </c>
      <c r="G268" s="16" t="s">
        <v>118</v>
      </c>
      <c r="H268" s="16">
        <v>4</v>
      </c>
      <c r="I268" s="16" t="s">
        <v>114</v>
      </c>
      <c r="J268" s="16" t="s">
        <v>115</v>
      </c>
      <c r="K268" s="16" t="s">
        <v>522</v>
      </c>
      <c r="L268" s="16" t="s">
        <v>119</v>
      </c>
      <c r="M268" s="16" t="s">
        <v>24</v>
      </c>
      <c r="N268" s="16">
        <v>0</v>
      </c>
      <c r="O268" s="16">
        <v>0</v>
      </c>
      <c r="P268" s="16">
        <v>4</v>
      </c>
      <c r="Q268" s="16">
        <f t="shared" si="20"/>
        <v>0</v>
      </c>
      <c r="R268" s="16">
        <f t="shared" si="21"/>
        <v>0</v>
      </c>
      <c r="S268" s="16">
        <f t="shared" si="22"/>
        <v>0</v>
      </c>
      <c r="T268" s="30">
        <f t="shared" si="23"/>
        <v>0</v>
      </c>
      <c r="U268" s="30">
        <f t="shared" si="24"/>
        <v>0</v>
      </c>
    </row>
    <row r="269" spans="1:21" s="16" customFormat="1" ht="20" customHeight="1" x14ac:dyDescent="0.35">
      <c r="A269" s="16" t="s">
        <v>381</v>
      </c>
      <c r="B269" s="28">
        <v>46110</v>
      </c>
      <c r="C269" s="16" t="s">
        <v>45</v>
      </c>
      <c r="D269" s="16" t="s">
        <v>372</v>
      </c>
      <c r="E269" s="29">
        <v>46082</v>
      </c>
      <c r="F269" s="16" t="s">
        <v>65</v>
      </c>
      <c r="G269" s="16" t="s">
        <v>139</v>
      </c>
      <c r="H269" s="16">
        <v>51</v>
      </c>
      <c r="I269" s="16" t="s">
        <v>21</v>
      </c>
      <c r="J269" s="16" t="s">
        <v>99</v>
      </c>
      <c r="K269" s="16" t="s">
        <v>522</v>
      </c>
      <c r="L269" s="16" t="s">
        <v>160</v>
      </c>
      <c r="M269" s="16" t="s">
        <v>24</v>
      </c>
      <c r="N269" s="16">
        <v>0</v>
      </c>
      <c r="O269" s="16">
        <v>0</v>
      </c>
      <c r="P269" s="16">
        <v>0</v>
      </c>
      <c r="Q269" s="16">
        <f t="shared" si="20"/>
        <v>0</v>
      </c>
      <c r="R269" s="16">
        <f t="shared" si="21"/>
        <v>0</v>
      </c>
      <c r="S269" s="16">
        <f t="shared" si="22"/>
        <v>0</v>
      </c>
      <c r="T269" s="30">
        <f t="shared" si="23"/>
        <v>51000</v>
      </c>
      <c r="U269" s="30">
        <f t="shared" si="24"/>
        <v>0</v>
      </c>
    </row>
    <row r="270" spans="1:21" s="16" customFormat="1" ht="20" customHeight="1" x14ac:dyDescent="0.35">
      <c r="A270" s="16" t="s">
        <v>382</v>
      </c>
      <c r="B270" s="28">
        <v>46110</v>
      </c>
      <c r="C270" s="16" t="s">
        <v>45</v>
      </c>
      <c r="D270" s="16" t="s">
        <v>372</v>
      </c>
      <c r="E270" s="29">
        <v>46082</v>
      </c>
      <c r="F270" s="16" t="s">
        <v>65</v>
      </c>
      <c r="G270" s="16" t="s">
        <v>102</v>
      </c>
      <c r="H270" s="16">
        <v>21</v>
      </c>
      <c r="I270" s="16" t="s">
        <v>84</v>
      </c>
      <c r="J270" s="16" t="s">
        <v>99</v>
      </c>
      <c r="K270" s="16" t="s">
        <v>522</v>
      </c>
      <c r="L270" s="16" t="s">
        <v>160</v>
      </c>
      <c r="M270" s="16" t="s">
        <v>24</v>
      </c>
      <c r="N270" s="16">
        <v>0</v>
      </c>
      <c r="O270" s="16">
        <v>0</v>
      </c>
      <c r="P270" s="16">
        <v>0</v>
      </c>
      <c r="Q270" s="16">
        <f t="shared" si="20"/>
        <v>0</v>
      </c>
      <c r="R270" s="16">
        <f t="shared" si="21"/>
        <v>0</v>
      </c>
      <c r="S270" s="16">
        <f t="shared" si="22"/>
        <v>0</v>
      </c>
      <c r="T270" s="30">
        <f t="shared" si="23"/>
        <v>0</v>
      </c>
      <c r="U270" s="30">
        <f t="shared" si="24"/>
        <v>0</v>
      </c>
    </row>
    <row r="271" spans="1:21" s="16" customFormat="1" ht="20" customHeight="1" x14ac:dyDescent="0.35">
      <c r="A271" s="16" t="s">
        <v>383</v>
      </c>
      <c r="B271" s="28">
        <v>46110</v>
      </c>
      <c r="C271" s="16" t="s">
        <v>45</v>
      </c>
      <c r="D271" s="16" t="s">
        <v>372</v>
      </c>
      <c r="E271" s="29">
        <v>46082</v>
      </c>
      <c r="F271" s="16" t="s">
        <v>65</v>
      </c>
      <c r="G271" s="16" t="s">
        <v>105</v>
      </c>
      <c r="H271" s="16">
        <v>13</v>
      </c>
      <c r="I271" s="16" t="s">
        <v>106</v>
      </c>
      <c r="J271" s="16" t="s">
        <v>99</v>
      </c>
      <c r="K271" s="16" t="s">
        <v>522</v>
      </c>
      <c r="L271" s="16" t="s">
        <v>160</v>
      </c>
      <c r="M271" s="16" t="s">
        <v>24</v>
      </c>
      <c r="N271" s="16">
        <v>0</v>
      </c>
      <c r="O271" s="16">
        <v>0</v>
      </c>
      <c r="P271" s="16">
        <v>0</v>
      </c>
      <c r="Q271" s="16">
        <f t="shared" si="20"/>
        <v>0</v>
      </c>
      <c r="R271" s="16">
        <f t="shared" si="21"/>
        <v>0</v>
      </c>
      <c r="S271" s="16">
        <f t="shared" si="22"/>
        <v>0</v>
      </c>
      <c r="T271" s="30">
        <f t="shared" si="23"/>
        <v>0</v>
      </c>
      <c r="U271" s="30">
        <f t="shared" si="24"/>
        <v>13000</v>
      </c>
    </row>
    <row r="272" spans="1:21" s="16" customFormat="1" ht="20" customHeight="1" x14ac:dyDescent="0.35">
      <c r="A272" s="16" t="s">
        <v>384</v>
      </c>
      <c r="B272" s="28">
        <v>46110</v>
      </c>
      <c r="C272" s="16" t="s">
        <v>45</v>
      </c>
      <c r="D272" s="16" t="s">
        <v>372</v>
      </c>
      <c r="E272" s="29">
        <v>46082</v>
      </c>
      <c r="F272" s="16" t="s">
        <v>26</v>
      </c>
      <c r="G272" s="16" t="s">
        <v>27</v>
      </c>
      <c r="H272" s="16">
        <v>14000</v>
      </c>
      <c r="I272" s="16" t="s">
        <v>28</v>
      </c>
      <c r="J272" s="16" t="s">
        <v>29</v>
      </c>
      <c r="K272" s="16" t="s">
        <v>522</v>
      </c>
      <c r="L272" s="16" t="s">
        <v>168</v>
      </c>
      <c r="M272" s="16" t="s">
        <v>24</v>
      </c>
      <c r="N272" s="16">
        <v>14000</v>
      </c>
      <c r="O272" s="16">
        <v>0</v>
      </c>
      <c r="P272" s="16">
        <v>0</v>
      </c>
      <c r="Q272" s="16">
        <f t="shared" si="20"/>
        <v>0</v>
      </c>
      <c r="R272" s="16">
        <f t="shared" si="21"/>
        <v>0</v>
      </c>
      <c r="S272" s="16">
        <f t="shared" si="22"/>
        <v>0</v>
      </c>
      <c r="T272" s="30">
        <f t="shared" si="23"/>
        <v>0</v>
      </c>
      <c r="U272" s="30">
        <f t="shared" si="24"/>
        <v>0</v>
      </c>
    </row>
    <row r="273" spans="1:21" s="16" customFormat="1" ht="20" customHeight="1" x14ac:dyDescent="0.35">
      <c r="A273" s="16" t="s">
        <v>386</v>
      </c>
      <c r="B273" s="28">
        <v>46110</v>
      </c>
      <c r="C273" s="16" t="s">
        <v>45</v>
      </c>
      <c r="D273" s="16" t="s">
        <v>372</v>
      </c>
      <c r="E273" s="29">
        <v>46082</v>
      </c>
      <c r="F273" s="16" t="s">
        <v>112</v>
      </c>
      <c r="G273" s="16" t="s">
        <v>113</v>
      </c>
      <c r="H273" s="16">
        <v>6</v>
      </c>
      <c r="I273" s="16" t="s">
        <v>114</v>
      </c>
      <c r="J273" s="16" t="s">
        <v>115</v>
      </c>
      <c r="K273" s="16" t="s">
        <v>522</v>
      </c>
      <c r="L273" s="16" t="s">
        <v>116</v>
      </c>
      <c r="M273" s="16" t="s">
        <v>24</v>
      </c>
      <c r="N273" s="16">
        <v>0</v>
      </c>
      <c r="O273" s="16">
        <v>6</v>
      </c>
      <c r="P273" s="16">
        <v>0</v>
      </c>
      <c r="Q273" s="16">
        <f t="shared" si="20"/>
        <v>0</v>
      </c>
      <c r="R273" s="16">
        <f t="shared" si="21"/>
        <v>0</v>
      </c>
      <c r="S273" s="16">
        <f t="shared" si="22"/>
        <v>0</v>
      </c>
      <c r="T273" s="30">
        <f t="shared" si="23"/>
        <v>0</v>
      </c>
      <c r="U273" s="30">
        <f t="shared" si="24"/>
        <v>0</v>
      </c>
    </row>
    <row r="274" spans="1:21" s="16" customFormat="1" ht="20" customHeight="1" x14ac:dyDescent="0.35">
      <c r="A274" s="16" t="s">
        <v>387</v>
      </c>
      <c r="B274" s="28">
        <v>46110</v>
      </c>
      <c r="C274" s="16" t="s">
        <v>45</v>
      </c>
      <c r="D274" s="16" t="s">
        <v>372</v>
      </c>
      <c r="E274" s="29">
        <v>46082</v>
      </c>
      <c r="F274" s="16" t="s">
        <v>112</v>
      </c>
      <c r="G274" s="16" t="s">
        <v>118</v>
      </c>
      <c r="H274" s="16">
        <v>4</v>
      </c>
      <c r="I274" s="16" t="s">
        <v>114</v>
      </c>
      <c r="J274" s="16" t="s">
        <v>115</v>
      </c>
      <c r="K274" s="16" t="s">
        <v>522</v>
      </c>
      <c r="L274" s="16" t="s">
        <v>119</v>
      </c>
      <c r="M274" s="16" t="s">
        <v>24</v>
      </c>
      <c r="N274" s="16">
        <v>0</v>
      </c>
      <c r="O274" s="16">
        <v>0</v>
      </c>
      <c r="P274" s="16">
        <v>4</v>
      </c>
      <c r="Q274" s="16">
        <f t="shared" si="20"/>
        <v>0</v>
      </c>
      <c r="R274" s="16">
        <f t="shared" si="21"/>
        <v>0</v>
      </c>
      <c r="S274" s="16">
        <f t="shared" si="22"/>
        <v>0</v>
      </c>
      <c r="T274" s="30">
        <f t="shared" si="23"/>
        <v>0</v>
      </c>
      <c r="U274" s="30">
        <f t="shared" si="24"/>
        <v>0</v>
      </c>
    </row>
    <row r="275" spans="1:21" s="16" customFormat="1" ht="20" customHeight="1" x14ac:dyDescent="0.35">
      <c r="A275" s="16" t="s">
        <v>388</v>
      </c>
      <c r="B275" s="28">
        <v>46111</v>
      </c>
      <c r="C275" s="16" t="s">
        <v>50</v>
      </c>
      <c r="D275" s="16" t="s">
        <v>385</v>
      </c>
      <c r="E275" s="29">
        <v>46082</v>
      </c>
      <c r="F275" s="16" t="s">
        <v>65</v>
      </c>
      <c r="G275" s="16" t="s">
        <v>139</v>
      </c>
      <c r="H275" s="16">
        <v>50.2</v>
      </c>
      <c r="I275" s="16" t="s">
        <v>21</v>
      </c>
      <c r="J275" s="16" t="s">
        <v>99</v>
      </c>
      <c r="K275" s="16" t="s">
        <v>522</v>
      </c>
      <c r="L275" s="16" t="s">
        <v>160</v>
      </c>
      <c r="M275" s="16" t="s">
        <v>24</v>
      </c>
      <c r="N275" s="16">
        <v>0</v>
      </c>
      <c r="O275" s="16">
        <v>0</v>
      </c>
      <c r="P275" s="16">
        <v>0</v>
      </c>
      <c r="Q275" s="16">
        <f t="shared" si="20"/>
        <v>0</v>
      </c>
      <c r="R275" s="16">
        <f t="shared" si="21"/>
        <v>0</v>
      </c>
      <c r="S275" s="16">
        <f t="shared" si="22"/>
        <v>0</v>
      </c>
      <c r="T275" s="30">
        <f t="shared" si="23"/>
        <v>50200</v>
      </c>
      <c r="U275" s="30">
        <f t="shared" si="24"/>
        <v>0</v>
      </c>
    </row>
    <row r="276" spans="1:21" s="16" customFormat="1" ht="20" customHeight="1" x14ac:dyDescent="0.35">
      <c r="A276" s="16" t="s">
        <v>389</v>
      </c>
      <c r="B276" s="28">
        <v>46111</v>
      </c>
      <c r="C276" s="16" t="s">
        <v>50</v>
      </c>
      <c r="D276" s="16" t="s">
        <v>385</v>
      </c>
      <c r="E276" s="29">
        <v>46082</v>
      </c>
      <c r="F276" s="16" t="s">
        <v>65</v>
      </c>
      <c r="G276" s="16" t="s">
        <v>102</v>
      </c>
      <c r="H276" s="16">
        <v>23.5</v>
      </c>
      <c r="I276" s="16" t="s">
        <v>84</v>
      </c>
      <c r="J276" s="16" t="s">
        <v>99</v>
      </c>
      <c r="K276" s="16" t="s">
        <v>522</v>
      </c>
      <c r="L276" s="16" t="s">
        <v>160</v>
      </c>
      <c r="M276" s="16" t="s">
        <v>24</v>
      </c>
      <c r="N276" s="16">
        <v>0</v>
      </c>
      <c r="O276" s="16">
        <v>0</v>
      </c>
      <c r="P276" s="16">
        <v>0</v>
      </c>
      <c r="Q276" s="16">
        <f t="shared" si="20"/>
        <v>0</v>
      </c>
      <c r="R276" s="16">
        <f t="shared" si="21"/>
        <v>0</v>
      </c>
      <c r="S276" s="16">
        <f t="shared" si="22"/>
        <v>0</v>
      </c>
      <c r="T276" s="30">
        <f t="shared" si="23"/>
        <v>0</v>
      </c>
      <c r="U276" s="30">
        <f t="shared" si="24"/>
        <v>0</v>
      </c>
    </row>
    <row r="277" spans="1:21" s="16" customFormat="1" ht="20" customHeight="1" x14ac:dyDescent="0.35">
      <c r="A277" s="16" t="s">
        <v>390</v>
      </c>
      <c r="B277" s="28">
        <v>46111</v>
      </c>
      <c r="C277" s="16" t="s">
        <v>50</v>
      </c>
      <c r="D277" s="16" t="s">
        <v>385</v>
      </c>
      <c r="E277" s="29">
        <v>46082</v>
      </c>
      <c r="F277" s="16" t="s">
        <v>65</v>
      </c>
      <c r="G277" s="16" t="s">
        <v>105</v>
      </c>
      <c r="H277" s="16">
        <v>15</v>
      </c>
      <c r="I277" s="16" t="s">
        <v>106</v>
      </c>
      <c r="J277" s="16" t="s">
        <v>99</v>
      </c>
      <c r="K277" s="16" t="s">
        <v>522</v>
      </c>
      <c r="L277" s="16" t="s">
        <v>160</v>
      </c>
      <c r="M277" s="16" t="s">
        <v>24</v>
      </c>
      <c r="N277" s="16">
        <v>0</v>
      </c>
      <c r="O277" s="16">
        <v>0</v>
      </c>
      <c r="P277" s="16">
        <v>0</v>
      </c>
      <c r="Q277" s="16">
        <f t="shared" si="20"/>
        <v>0</v>
      </c>
      <c r="R277" s="16">
        <f t="shared" si="21"/>
        <v>0</v>
      </c>
      <c r="S277" s="16">
        <f t="shared" si="22"/>
        <v>0</v>
      </c>
      <c r="T277" s="30">
        <f t="shared" si="23"/>
        <v>0</v>
      </c>
      <c r="U277" s="30">
        <f t="shared" si="24"/>
        <v>15000</v>
      </c>
    </row>
    <row r="278" spans="1:21" s="16" customFormat="1" ht="20" customHeight="1" x14ac:dyDescent="0.35">
      <c r="A278" s="16" t="s">
        <v>391</v>
      </c>
      <c r="B278" s="28">
        <v>46111</v>
      </c>
      <c r="C278" s="16" t="s">
        <v>50</v>
      </c>
      <c r="D278" s="16" t="s">
        <v>385</v>
      </c>
      <c r="E278" s="29">
        <v>46082</v>
      </c>
      <c r="F278" s="16" t="s">
        <v>26</v>
      </c>
      <c r="G278" s="16" t="s">
        <v>27</v>
      </c>
      <c r="H278" s="16">
        <v>14000</v>
      </c>
      <c r="I278" s="16" t="s">
        <v>28</v>
      </c>
      <c r="J278" s="16" t="s">
        <v>29</v>
      </c>
      <c r="K278" s="16" t="s">
        <v>522</v>
      </c>
      <c r="L278" s="16" t="s">
        <v>168</v>
      </c>
      <c r="M278" s="16" t="s">
        <v>24</v>
      </c>
      <c r="N278" s="16">
        <v>14000</v>
      </c>
      <c r="O278" s="16">
        <v>0</v>
      </c>
      <c r="P278" s="16">
        <v>0</v>
      </c>
      <c r="Q278" s="16">
        <f t="shared" si="20"/>
        <v>0</v>
      </c>
      <c r="R278" s="16">
        <f t="shared" si="21"/>
        <v>0</v>
      </c>
      <c r="S278" s="16">
        <f t="shared" si="22"/>
        <v>0</v>
      </c>
      <c r="T278" s="30">
        <f t="shared" si="23"/>
        <v>0</v>
      </c>
      <c r="U278" s="30">
        <f t="shared" si="24"/>
        <v>0</v>
      </c>
    </row>
    <row r="279" spans="1:21" s="16" customFormat="1" ht="20" customHeight="1" x14ac:dyDescent="0.35">
      <c r="A279" s="16" t="s">
        <v>393</v>
      </c>
      <c r="B279" s="28">
        <v>46111</v>
      </c>
      <c r="C279" s="16" t="s">
        <v>50</v>
      </c>
      <c r="D279" s="16" t="s">
        <v>385</v>
      </c>
      <c r="E279" s="29">
        <v>46082</v>
      </c>
      <c r="F279" s="16" t="s">
        <v>112</v>
      </c>
      <c r="G279" s="16" t="s">
        <v>113</v>
      </c>
      <c r="H279" s="16">
        <v>6</v>
      </c>
      <c r="I279" s="16" t="s">
        <v>114</v>
      </c>
      <c r="J279" s="16" t="s">
        <v>115</v>
      </c>
      <c r="K279" s="16" t="s">
        <v>522</v>
      </c>
      <c r="L279" s="16" t="s">
        <v>116</v>
      </c>
      <c r="M279" s="16" t="s">
        <v>24</v>
      </c>
      <c r="N279" s="16">
        <v>0</v>
      </c>
      <c r="O279" s="16">
        <v>6</v>
      </c>
      <c r="P279" s="16">
        <v>0</v>
      </c>
      <c r="Q279" s="16">
        <f t="shared" si="20"/>
        <v>0</v>
      </c>
      <c r="R279" s="16">
        <f t="shared" si="21"/>
        <v>0</v>
      </c>
      <c r="S279" s="16">
        <f t="shared" si="22"/>
        <v>0</v>
      </c>
      <c r="T279" s="30">
        <f t="shared" si="23"/>
        <v>0</v>
      </c>
      <c r="U279" s="30">
        <f t="shared" si="24"/>
        <v>0</v>
      </c>
    </row>
    <row r="280" spans="1:21" s="16" customFormat="1" ht="20" customHeight="1" x14ac:dyDescent="0.35">
      <c r="A280" s="16" t="s">
        <v>394</v>
      </c>
      <c r="B280" s="28">
        <v>46111</v>
      </c>
      <c r="C280" s="16" t="s">
        <v>50</v>
      </c>
      <c r="D280" s="16" t="s">
        <v>385</v>
      </c>
      <c r="E280" s="29">
        <v>46082</v>
      </c>
      <c r="F280" s="16" t="s">
        <v>112</v>
      </c>
      <c r="G280" s="16" t="s">
        <v>118</v>
      </c>
      <c r="H280" s="16">
        <v>4</v>
      </c>
      <c r="I280" s="16" t="s">
        <v>114</v>
      </c>
      <c r="J280" s="16" t="s">
        <v>115</v>
      </c>
      <c r="K280" s="16" t="s">
        <v>522</v>
      </c>
      <c r="L280" s="16" t="s">
        <v>119</v>
      </c>
      <c r="M280" s="16" t="s">
        <v>24</v>
      </c>
      <c r="N280" s="16">
        <v>0</v>
      </c>
      <c r="O280" s="16">
        <v>0</v>
      </c>
      <c r="P280" s="16">
        <v>4</v>
      </c>
      <c r="Q280" s="16">
        <f t="shared" si="20"/>
        <v>0</v>
      </c>
      <c r="R280" s="16">
        <f t="shared" si="21"/>
        <v>0</v>
      </c>
      <c r="S280" s="16">
        <f t="shared" si="22"/>
        <v>0</v>
      </c>
      <c r="T280" s="30">
        <f t="shared" si="23"/>
        <v>0</v>
      </c>
      <c r="U280" s="30">
        <f t="shared" si="24"/>
        <v>0</v>
      </c>
    </row>
    <row r="281" spans="1:21" s="16" customFormat="1" ht="20" customHeight="1" x14ac:dyDescent="0.35">
      <c r="A281" s="16" t="s">
        <v>395</v>
      </c>
      <c r="B281" s="28">
        <v>46112</v>
      </c>
      <c r="C281" s="16" t="s">
        <v>17</v>
      </c>
      <c r="D281" s="16" t="s">
        <v>385</v>
      </c>
      <c r="E281" s="29">
        <v>46082</v>
      </c>
      <c r="F281" s="16" t="s">
        <v>19</v>
      </c>
      <c r="G281" s="16" t="s">
        <v>60</v>
      </c>
      <c r="H281" s="16">
        <v>12</v>
      </c>
      <c r="I281" s="16" t="s">
        <v>21</v>
      </c>
      <c r="J281" s="16" t="s">
        <v>22</v>
      </c>
      <c r="K281" s="16" t="s">
        <v>522</v>
      </c>
      <c r="L281" s="16" t="s">
        <v>392</v>
      </c>
      <c r="M281" s="16" t="s">
        <v>24</v>
      </c>
      <c r="N281" s="16">
        <v>0</v>
      </c>
      <c r="O281" s="16">
        <v>0</v>
      </c>
      <c r="P281" s="16">
        <v>0</v>
      </c>
      <c r="Q281" s="16">
        <f t="shared" si="20"/>
        <v>0</v>
      </c>
      <c r="R281" s="16">
        <f t="shared" si="21"/>
        <v>12000</v>
      </c>
      <c r="S281" s="16">
        <f t="shared" si="22"/>
        <v>0</v>
      </c>
      <c r="T281" s="30">
        <f t="shared" si="23"/>
        <v>0</v>
      </c>
      <c r="U281" s="30">
        <f t="shared" si="24"/>
        <v>0</v>
      </c>
    </row>
    <row r="282" spans="1:21" s="16" customFormat="1" ht="20" customHeight="1" x14ac:dyDescent="0.35">
      <c r="A282" s="16" t="s">
        <v>397</v>
      </c>
      <c r="B282" s="28">
        <v>46112</v>
      </c>
      <c r="C282" s="16" t="s">
        <v>17</v>
      </c>
      <c r="D282" s="16" t="s">
        <v>385</v>
      </c>
      <c r="E282" s="29">
        <v>46082</v>
      </c>
      <c r="F282" s="16" t="s">
        <v>65</v>
      </c>
      <c r="G282" s="16" t="s">
        <v>98</v>
      </c>
      <c r="H282" s="16">
        <v>21.4</v>
      </c>
      <c r="I282" s="16" t="s">
        <v>21</v>
      </c>
      <c r="J282" s="16" t="s">
        <v>99</v>
      </c>
      <c r="K282" s="16" t="s">
        <v>522</v>
      </c>
      <c r="L282" s="16" t="s">
        <v>100</v>
      </c>
      <c r="M282" s="16" t="s">
        <v>24</v>
      </c>
      <c r="N282" s="16">
        <v>0</v>
      </c>
      <c r="O282" s="16">
        <v>0</v>
      </c>
      <c r="P282" s="16">
        <v>0</v>
      </c>
      <c r="Q282" s="16">
        <f t="shared" si="20"/>
        <v>0</v>
      </c>
      <c r="R282" s="16">
        <f t="shared" si="21"/>
        <v>0</v>
      </c>
      <c r="S282" s="16">
        <f t="shared" si="22"/>
        <v>10700</v>
      </c>
      <c r="T282" s="30">
        <f t="shared" si="23"/>
        <v>0</v>
      </c>
      <c r="U282" s="30">
        <f t="shared" si="24"/>
        <v>0</v>
      </c>
    </row>
    <row r="283" spans="1:21" s="16" customFormat="1" ht="20" customHeight="1" x14ac:dyDescent="0.35">
      <c r="A283" s="16" t="s">
        <v>398</v>
      </c>
      <c r="B283" s="28">
        <v>46112</v>
      </c>
      <c r="C283" s="16" t="s">
        <v>17</v>
      </c>
      <c r="D283" s="16" t="s">
        <v>385</v>
      </c>
      <c r="E283" s="29">
        <v>46082</v>
      </c>
      <c r="F283" s="16" t="s">
        <v>65</v>
      </c>
      <c r="G283" s="16" t="s">
        <v>139</v>
      </c>
      <c r="H283" s="16">
        <v>50</v>
      </c>
      <c r="I283" s="16" t="s">
        <v>21</v>
      </c>
      <c r="J283" s="16" t="s">
        <v>99</v>
      </c>
      <c r="K283" s="16" t="s">
        <v>522</v>
      </c>
      <c r="L283" s="16" t="s">
        <v>160</v>
      </c>
      <c r="M283" s="16" t="s">
        <v>24</v>
      </c>
      <c r="N283" s="16">
        <v>0</v>
      </c>
      <c r="O283" s="16">
        <v>0</v>
      </c>
      <c r="P283" s="16">
        <v>0</v>
      </c>
      <c r="Q283" s="16">
        <f t="shared" si="20"/>
        <v>0</v>
      </c>
      <c r="R283" s="16">
        <f t="shared" si="21"/>
        <v>0</v>
      </c>
      <c r="S283" s="16">
        <f t="shared" si="22"/>
        <v>0</v>
      </c>
      <c r="T283" s="30">
        <f t="shared" si="23"/>
        <v>50000</v>
      </c>
      <c r="U283" s="30">
        <f t="shared" si="24"/>
        <v>0</v>
      </c>
    </row>
    <row r="284" spans="1:21" s="16" customFormat="1" ht="20" customHeight="1" x14ac:dyDescent="0.35">
      <c r="A284" s="16" t="s">
        <v>399</v>
      </c>
      <c r="B284" s="28">
        <v>46112</v>
      </c>
      <c r="C284" s="16" t="s">
        <v>17</v>
      </c>
      <c r="D284" s="16" t="s">
        <v>385</v>
      </c>
      <c r="E284" s="29">
        <v>46082</v>
      </c>
      <c r="F284" s="16" t="s">
        <v>65</v>
      </c>
      <c r="G284" s="16" t="s">
        <v>102</v>
      </c>
      <c r="H284" s="16">
        <v>28.5</v>
      </c>
      <c r="I284" s="16" t="s">
        <v>84</v>
      </c>
      <c r="J284" s="16" t="s">
        <v>99</v>
      </c>
      <c r="K284" s="16" t="s">
        <v>522</v>
      </c>
      <c r="L284" s="16" t="s">
        <v>396</v>
      </c>
      <c r="M284" s="16" t="s">
        <v>24</v>
      </c>
      <c r="N284" s="16">
        <v>0</v>
      </c>
      <c r="O284" s="16">
        <v>0</v>
      </c>
      <c r="P284" s="16">
        <v>0</v>
      </c>
      <c r="Q284" s="16">
        <f t="shared" si="20"/>
        <v>0</v>
      </c>
      <c r="R284" s="16">
        <f t="shared" si="21"/>
        <v>0</v>
      </c>
      <c r="S284" s="16">
        <f t="shared" si="22"/>
        <v>0</v>
      </c>
      <c r="T284" s="30">
        <f t="shared" si="23"/>
        <v>0</v>
      </c>
      <c r="U284" s="30">
        <f t="shared" si="24"/>
        <v>0</v>
      </c>
    </row>
    <row r="285" spans="1:21" s="16" customFormat="1" ht="20" customHeight="1" x14ac:dyDescent="0.35">
      <c r="A285" s="16" t="s">
        <v>400</v>
      </c>
      <c r="B285" s="28">
        <v>46112</v>
      </c>
      <c r="C285" s="16" t="s">
        <v>17</v>
      </c>
      <c r="D285" s="16" t="s">
        <v>385</v>
      </c>
      <c r="E285" s="29">
        <v>46082</v>
      </c>
      <c r="F285" s="16" t="s">
        <v>65</v>
      </c>
      <c r="G285" s="16" t="s">
        <v>105</v>
      </c>
      <c r="H285" s="16">
        <v>15</v>
      </c>
      <c r="I285" s="16" t="s">
        <v>106</v>
      </c>
      <c r="J285" s="16" t="s">
        <v>99</v>
      </c>
      <c r="K285" s="16" t="s">
        <v>522</v>
      </c>
      <c r="L285" s="16" t="s">
        <v>396</v>
      </c>
      <c r="M285" s="16" t="s">
        <v>24</v>
      </c>
      <c r="N285" s="16">
        <v>0</v>
      </c>
      <c r="O285" s="16">
        <v>0</v>
      </c>
      <c r="P285" s="16">
        <v>0</v>
      </c>
      <c r="Q285" s="16">
        <f t="shared" si="20"/>
        <v>0</v>
      </c>
      <c r="R285" s="16">
        <f t="shared" si="21"/>
        <v>0</v>
      </c>
      <c r="S285" s="16">
        <f t="shared" si="22"/>
        <v>0</v>
      </c>
      <c r="T285" s="30">
        <f t="shared" si="23"/>
        <v>0</v>
      </c>
      <c r="U285" s="30">
        <f t="shared" si="24"/>
        <v>15000</v>
      </c>
    </row>
    <row r="286" spans="1:21" s="16" customFormat="1" ht="20" customHeight="1" x14ac:dyDescent="0.35">
      <c r="A286" s="16" t="s">
        <v>401</v>
      </c>
      <c r="B286" s="28">
        <v>46112</v>
      </c>
      <c r="C286" s="16" t="s">
        <v>17</v>
      </c>
      <c r="D286" s="16" t="s">
        <v>385</v>
      </c>
      <c r="E286" s="29">
        <v>46082</v>
      </c>
      <c r="F286" s="16" t="s">
        <v>26</v>
      </c>
      <c r="G286" s="16" t="s">
        <v>27</v>
      </c>
      <c r="H286" s="16">
        <v>16000</v>
      </c>
      <c r="I286" s="16" t="s">
        <v>28</v>
      </c>
      <c r="J286" s="16" t="s">
        <v>29</v>
      </c>
      <c r="K286" s="16" t="s">
        <v>522</v>
      </c>
      <c r="L286" s="16" t="s">
        <v>146</v>
      </c>
      <c r="M286" s="16" t="s">
        <v>24</v>
      </c>
      <c r="N286" s="16">
        <v>16000</v>
      </c>
      <c r="O286" s="16">
        <v>0</v>
      </c>
      <c r="P286" s="16">
        <v>0</v>
      </c>
      <c r="Q286" s="16">
        <f t="shared" si="20"/>
        <v>0</v>
      </c>
      <c r="R286" s="16">
        <f t="shared" si="21"/>
        <v>0</v>
      </c>
      <c r="S286" s="16">
        <f t="shared" si="22"/>
        <v>0</v>
      </c>
      <c r="T286" s="30">
        <f t="shared" si="23"/>
        <v>0</v>
      </c>
      <c r="U286" s="30">
        <f t="shared" si="24"/>
        <v>0</v>
      </c>
    </row>
    <row r="287" spans="1:21" s="16" customFormat="1" ht="20" customHeight="1" x14ac:dyDescent="0.35">
      <c r="A287" s="16" t="s">
        <v>402</v>
      </c>
      <c r="B287" s="28">
        <v>46112</v>
      </c>
      <c r="C287" s="16" t="s">
        <v>17</v>
      </c>
      <c r="D287" s="16" t="s">
        <v>385</v>
      </c>
      <c r="E287" s="29">
        <v>46082</v>
      </c>
      <c r="F287" s="16" t="s">
        <v>112</v>
      </c>
      <c r="G287" s="16" t="s">
        <v>113</v>
      </c>
      <c r="H287" s="16">
        <v>6</v>
      </c>
      <c r="I287" s="16" t="s">
        <v>114</v>
      </c>
      <c r="J287" s="16" t="s">
        <v>115</v>
      </c>
      <c r="K287" s="16" t="s">
        <v>522</v>
      </c>
      <c r="L287" s="16" t="s">
        <v>116</v>
      </c>
      <c r="M287" s="16" t="s">
        <v>24</v>
      </c>
      <c r="N287" s="16">
        <v>0</v>
      </c>
      <c r="O287" s="16">
        <v>6</v>
      </c>
      <c r="P287" s="16">
        <v>0</v>
      </c>
      <c r="Q287" s="16">
        <f t="shared" si="20"/>
        <v>0</v>
      </c>
      <c r="R287" s="16">
        <f t="shared" si="21"/>
        <v>0</v>
      </c>
      <c r="S287" s="16">
        <f t="shared" si="22"/>
        <v>0</v>
      </c>
      <c r="T287" s="30">
        <f t="shared" si="23"/>
        <v>0</v>
      </c>
      <c r="U287" s="30">
        <f t="shared" si="24"/>
        <v>0</v>
      </c>
    </row>
    <row r="288" spans="1:21" s="16" customFormat="1" ht="20" customHeight="1" x14ac:dyDescent="0.35">
      <c r="A288" s="16" t="s">
        <v>404</v>
      </c>
      <c r="B288" s="28">
        <v>46112</v>
      </c>
      <c r="C288" s="16" t="s">
        <v>17</v>
      </c>
      <c r="D288" s="16" t="s">
        <v>385</v>
      </c>
      <c r="E288" s="29">
        <v>46082</v>
      </c>
      <c r="F288" s="16" t="s">
        <v>112</v>
      </c>
      <c r="G288" s="16" t="s">
        <v>118</v>
      </c>
      <c r="H288" s="16">
        <v>4</v>
      </c>
      <c r="I288" s="16" t="s">
        <v>114</v>
      </c>
      <c r="J288" s="16" t="s">
        <v>115</v>
      </c>
      <c r="K288" s="16" t="s">
        <v>522</v>
      </c>
      <c r="L288" s="16" t="s">
        <v>119</v>
      </c>
      <c r="M288" s="16" t="s">
        <v>24</v>
      </c>
      <c r="N288" s="16">
        <v>0</v>
      </c>
      <c r="O288" s="16">
        <v>0</v>
      </c>
      <c r="P288" s="16">
        <v>4</v>
      </c>
      <c r="Q288" s="16">
        <f t="shared" si="20"/>
        <v>0</v>
      </c>
      <c r="R288" s="16">
        <f t="shared" si="21"/>
        <v>0</v>
      </c>
      <c r="S288" s="16">
        <f t="shared" si="22"/>
        <v>0</v>
      </c>
      <c r="T288" s="30">
        <f t="shared" si="23"/>
        <v>0</v>
      </c>
      <c r="U288" s="30">
        <f t="shared" si="24"/>
        <v>0</v>
      </c>
    </row>
    <row r="289" spans="1:21" s="16" customFormat="1" ht="20" customHeight="1" x14ac:dyDescent="0.35">
      <c r="A289" s="16" t="s">
        <v>406</v>
      </c>
      <c r="B289" s="28">
        <v>46113</v>
      </c>
      <c r="C289" s="16" t="s">
        <v>32</v>
      </c>
      <c r="D289" s="16" t="s">
        <v>385</v>
      </c>
      <c r="E289" s="29">
        <v>46113</v>
      </c>
      <c r="F289" s="16" t="s">
        <v>65</v>
      </c>
      <c r="G289" s="16" t="s">
        <v>139</v>
      </c>
      <c r="H289" s="16">
        <v>10.4</v>
      </c>
      <c r="I289" s="16" t="s">
        <v>21</v>
      </c>
      <c r="J289" s="16" t="s">
        <v>99</v>
      </c>
      <c r="K289" s="16" t="s">
        <v>522</v>
      </c>
      <c r="L289" s="16" t="s">
        <v>160</v>
      </c>
      <c r="M289" s="16" t="s">
        <v>24</v>
      </c>
      <c r="N289" s="16">
        <v>0</v>
      </c>
      <c r="O289" s="16">
        <v>0</v>
      </c>
      <c r="P289" s="16">
        <v>0</v>
      </c>
      <c r="Q289" s="16">
        <f t="shared" si="20"/>
        <v>0</v>
      </c>
      <c r="R289" s="16">
        <f t="shared" si="21"/>
        <v>0</v>
      </c>
      <c r="S289" s="16">
        <f t="shared" si="22"/>
        <v>0</v>
      </c>
      <c r="T289" s="30">
        <f t="shared" si="23"/>
        <v>10400</v>
      </c>
      <c r="U289" s="30">
        <f t="shared" si="24"/>
        <v>0</v>
      </c>
    </row>
    <row r="290" spans="1:21" s="16" customFormat="1" ht="20" customHeight="1" x14ac:dyDescent="0.35">
      <c r="A290" s="16" t="s">
        <v>407</v>
      </c>
      <c r="B290" s="28">
        <v>46113</v>
      </c>
      <c r="C290" s="16" t="s">
        <v>32</v>
      </c>
      <c r="D290" s="16" t="s">
        <v>385</v>
      </c>
      <c r="E290" s="29">
        <v>46113</v>
      </c>
      <c r="F290" s="16" t="s">
        <v>65</v>
      </c>
      <c r="G290" s="16" t="s">
        <v>102</v>
      </c>
      <c r="H290" s="16">
        <v>9</v>
      </c>
      <c r="I290" s="16" t="s">
        <v>84</v>
      </c>
      <c r="J290" s="16" t="s">
        <v>99</v>
      </c>
      <c r="K290" s="16" t="s">
        <v>522</v>
      </c>
      <c r="L290" s="16" t="s">
        <v>403</v>
      </c>
      <c r="M290" s="16" t="s">
        <v>24</v>
      </c>
      <c r="N290" s="16">
        <v>0</v>
      </c>
      <c r="O290" s="16">
        <v>0</v>
      </c>
      <c r="P290" s="16">
        <v>0</v>
      </c>
      <c r="Q290" s="16">
        <f t="shared" si="20"/>
        <v>0</v>
      </c>
      <c r="R290" s="16">
        <f t="shared" si="21"/>
        <v>0</v>
      </c>
      <c r="S290" s="16">
        <f t="shared" si="22"/>
        <v>0</v>
      </c>
      <c r="T290" s="30">
        <f t="shared" si="23"/>
        <v>0</v>
      </c>
      <c r="U290" s="30">
        <f t="shared" si="24"/>
        <v>0</v>
      </c>
    </row>
    <row r="291" spans="1:21" s="16" customFormat="1" ht="20" customHeight="1" x14ac:dyDescent="0.35">
      <c r="A291" s="16" t="s">
        <v>408</v>
      </c>
      <c r="B291" s="28">
        <v>46113</v>
      </c>
      <c r="C291" s="16" t="s">
        <v>32</v>
      </c>
      <c r="D291" s="16" t="s">
        <v>385</v>
      </c>
      <c r="E291" s="29">
        <v>46113</v>
      </c>
      <c r="F291" s="16" t="s">
        <v>65</v>
      </c>
      <c r="G291" s="16" t="s">
        <v>105</v>
      </c>
      <c r="H291" s="16">
        <v>5</v>
      </c>
      <c r="I291" s="16" t="s">
        <v>106</v>
      </c>
      <c r="J291" s="16" t="s">
        <v>99</v>
      </c>
      <c r="K291" s="16" t="s">
        <v>522</v>
      </c>
      <c r="L291" s="16" t="s">
        <v>405</v>
      </c>
      <c r="M291" s="16" t="s">
        <v>24</v>
      </c>
      <c r="N291" s="16">
        <v>0</v>
      </c>
      <c r="O291" s="16">
        <v>0</v>
      </c>
      <c r="P291" s="16">
        <v>0</v>
      </c>
      <c r="Q291" s="16">
        <f t="shared" si="20"/>
        <v>0</v>
      </c>
      <c r="R291" s="16">
        <f t="shared" si="21"/>
        <v>0</v>
      </c>
      <c r="S291" s="16">
        <f t="shared" si="22"/>
        <v>0</v>
      </c>
      <c r="T291" s="30">
        <f t="shared" si="23"/>
        <v>0</v>
      </c>
      <c r="U291" s="30">
        <f t="shared" si="24"/>
        <v>5000</v>
      </c>
    </row>
    <row r="292" spans="1:21" s="16" customFormat="1" ht="20" customHeight="1" x14ac:dyDescent="0.35">
      <c r="A292" s="16" t="s">
        <v>409</v>
      </c>
      <c r="B292" s="28">
        <v>46113</v>
      </c>
      <c r="C292" s="16" t="s">
        <v>32</v>
      </c>
      <c r="D292" s="16" t="s">
        <v>385</v>
      </c>
      <c r="E292" s="29">
        <v>46113</v>
      </c>
      <c r="F292" s="16" t="s">
        <v>26</v>
      </c>
      <c r="G292" s="16" t="s">
        <v>27</v>
      </c>
      <c r="H292" s="16">
        <v>8000</v>
      </c>
      <c r="I292" s="16" t="s">
        <v>28</v>
      </c>
      <c r="J292" s="16" t="s">
        <v>29</v>
      </c>
      <c r="K292" s="16" t="s">
        <v>522</v>
      </c>
      <c r="L292" s="16" t="s">
        <v>168</v>
      </c>
      <c r="M292" s="16" t="s">
        <v>24</v>
      </c>
      <c r="N292" s="16">
        <v>8000</v>
      </c>
      <c r="O292" s="16">
        <v>0</v>
      </c>
      <c r="P292" s="16">
        <v>0</v>
      </c>
      <c r="Q292" s="16">
        <f t="shared" si="20"/>
        <v>0</v>
      </c>
      <c r="R292" s="16">
        <f t="shared" si="21"/>
        <v>0</v>
      </c>
      <c r="S292" s="16">
        <f t="shared" si="22"/>
        <v>0</v>
      </c>
      <c r="T292" s="30">
        <f t="shared" si="23"/>
        <v>0</v>
      </c>
      <c r="U292" s="30">
        <f t="shared" si="24"/>
        <v>0</v>
      </c>
    </row>
    <row r="293" spans="1:21" s="16" customFormat="1" ht="20" customHeight="1" x14ac:dyDescent="0.35">
      <c r="A293" s="16" t="s">
        <v>411</v>
      </c>
      <c r="B293" s="28">
        <v>46113</v>
      </c>
      <c r="C293" s="16" t="s">
        <v>32</v>
      </c>
      <c r="D293" s="16" t="s">
        <v>385</v>
      </c>
      <c r="E293" s="29">
        <v>46113</v>
      </c>
      <c r="F293" s="16" t="s">
        <v>112</v>
      </c>
      <c r="G293" s="16" t="s">
        <v>113</v>
      </c>
      <c r="H293" s="16">
        <v>4</v>
      </c>
      <c r="I293" s="16" t="s">
        <v>114</v>
      </c>
      <c r="J293" s="16" t="s">
        <v>115</v>
      </c>
      <c r="K293" s="16" t="s">
        <v>522</v>
      </c>
      <c r="L293" s="16" t="s">
        <v>116</v>
      </c>
      <c r="M293" s="16" t="s">
        <v>24</v>
      </c>
      <c r="N293" s="16">
        <v>0</v>
      </c>
      <c r="O293" s="16">
        <v>4</v>
      </c>
      <c r="P293" s="16">
        <v>0</v>
      </c>
      <c r="Q293" s="16">
        <f t="shared" si="20"/>
        <v>0</v>
      </c>
      <c r="R293" s="16">
        <f t="shared" si="21"/>
        <v>0</v>
      </c>
      <c r="S293" s="16">
        <f t="shared" si="22"/>
        <v>0</v>
      </c>
      <c r="T293" s="30">
        <f t="shared" si="23"/>
        <v>0</v>
      </c>
      <c r="U293" s="30">
        <f t="shared" si="24"/>
        <v>0</v>
      </c>
    </row>
    <row r="294" spans="1:21" s="16" customFormat="1" ht="20" customHeight="1" x14ac:dyDescent="0.35">
      <c r="A294" s="16" t="s">
        <v>412</v>
      </c>
      <c r="B294" s="28">
        <v>46113</v>
      </c>
      <c r="C294" s="16" t="s">
        <v>32</v>
      </c>
      <c r="D294" s="16" t="s">
        <v>385</v>
      </c>
      <c r="E294" s="29">
        <v>46113</v>
      </c>
      <c r="F294" s="16" t="s">
        <v>112</v>
      </c>
      <c r="G294" s="16" t="s">
        <v>118</v>
      </c>
      <c r="H294" s="16">
        <v>3</v>
      </c>
      <c r="I294" s="16" t="s">
        <v>114</v>
      </c>
      <c r="J294" s="16" t="s">
        <v>115</v>
      </c>
      <c r="K294" s="16" t="s">
        <v>522</v>
      </c>
      <c r="L294" s="16" t="s">
        <v>119</v>
      </c>
      <c r="M294" s="16" t="s">
        <v>24</v>
      </c>
      <c r="N294" s="16">
        <v>0</v>
      </c>
      <c r="O294" s="16">
        <v>0</v>
      </c>
      <c r="P294" s="16">
        <v>3</v>
      </c>
      <c r="Q294" s="16">
        <f t="shared" si="20"/>
        <v>0</v>
      </c>
      <c r="R294" s="16">
        <f t="shared" si="21"/>
        <v>0</v>
      </c>
      <c r="S294" s="16">
        <f t="shared" si="22"/>
        <v>0</v>
      </c>
      <c r="T294" s="30">
        <f t="shared" si="23"/>
        <v>0</v>
      </c>
      <c r="U294" s="30">
        <f t="shared" si="24"/>
        <v>0</v>
      </c>
    </row>
    <row r="295" spans="1:21" s="16" customFormat="1" ht="20" customHeight="1" x14ac:dyDescent="0.35">
      <c r="A295" s="16" t="s">
        <v>414</v>
      </c>
      <c r="B295" s="28">
        <v>46114</v>
      </c>
      <c r="C295" s="16" t="s">
        <v>36</v>
      </c>
      <c r="D295" s="16" t="s">
        <v>385</v>
      </c>
      <c r="E295" s="29">
        <v>46113</v>
      </c>
      <c r="F295" s="16" t="s">
        <v>65</v>
      </c>
      <c r="G295" s="16" t="s">
        <v>102</v>
      </c>
      <c r="H295" s="16">
        <v>13</v>
      </c>
      <c r="I295" s="16" t="s">
        <v>84</v>
      </c>
      <c r="J295" s="16" t="s">
        <v>99</v>
      </c>
      <c r="K295" s="16" t="s">
        <v>522</v>
      </c>
      <c r="L295" s="16" t="s">
        <v>410</v>
      </c>
      <c r="M295" s="16" t="s">
        <v>24</v>
      </c>
      <c r="N295" s="16">
        <v>0</v>
      </c>
      <c r="O295" s="16">
        <v>0</v>
      </c>
      <c r="P295" s="16">
        <v>0</v>
      </c>
      <c r="Q295" s="16">
        <f t="shared" si="20"/>
        <v>0</v>
      </c>
      <c r="R295" s="16">
        <f t="shared" si="21"/>
        <v>0</v>
      </c>
      <c r="S295" s="16">
        <f t="shared" si="22"/>
        <v>0</v>
      </c>
      <c r="T295" s="30">
        <f t="shared" si="23"/>
        <v>0</v>
      </c>
      <c r="U295" s="30">
        <f t="shared" si="24"/>
        <v>0</v>
      </c>
    </row>
    <row r="296" spans="1:21" s="16" customFormat="1" ht="20" customHeight="1" x14ac:dyDescent="0.35">
      <c r="A296" s="16" t="s">
        <v>415</v>
      </c>
      <c r="B296" s="28">
        <v>46114</v>
      </c>
      <c r="C296" s="16" t="s">
        <v>36</v>
      </c>
      <c r="D296" s="16" t="s">
        <v>385</v>
      </c>
      <c r="E296" s="29">
        <v>46113</v>
      </c>
      <c r="F296" s="16" t="s">
        <v>65</v>
      </c>
      <c r="G296" s="16" t="s">
        <v>105</v>
      </c>
      <c r="H296" s="16">
        <v>6</v>
      </c>
      <c r="I296" s="16" t="s">
        <v>106</v>
      </c>
      <c r="J296" s="16" t="s">
        <v>99</v>
      </c>
      <c r="K296" s="16" t="s">
        <v>522</v>
      </c>
      <c r="L296" s="16" t="s">
        <v>410</v>
      </c>
      <c r="M296" s="16" t="s">
        <v>24</v>
      </c>
      <c r="N296" s="16">
        <v>0</v>
      </c>
      <c r="O296" s="16">
        <v>0</v>
      </c>
      <c r="P296" s="16">
        <v>0</v>
      </c>
      <c r="Q296" s="16">
        <f t="shared" si="20"/>
        <v>0</v>
      </c>
      <c r="R296" s="16">
        <f t="shared" si="21"/>
        <v>0</v>
      </c>
      <c r="S296" s="16">
        <f t="shared" si="22"/>
        <v>0</v>
      </c>
      <c r="T296" s="30">
        <f t="shared" si="23"/>
        <v>0</v>
      </c>
      <c r="U296" s="30">
        <f t="shared" si="24"/>
        <v>6000</v>
      </c>
    </row>
    <row r="297" spans="1:21" s="16" customFormat="1" ht="20" customHeight="1" x14ac:dyDescent="0.35">
      <c r="A297" s="16" t="s">
        <v>416</v>
      </c>
      <c r="B297" s="28">
        <v>46114</v>
      </c>
      <c r="C297" s="16" t="s">
        <v>36</v>
      </c>
      <c r="D297" s="16" t="s">
        <v>385</v>
      </c>
      <c r="E297" s="29">
        <v>46113</v>
      </c>
      <c r="F297" s="16" t="s">
        <v>26</v>
      </c>
      <c r="G297" s="16" t="s">
        <v>27</v>
      </c>
      <c r="H297" s="16">
        <v>8000</v>
      </c>
      <c r="I297" s="16" t="s">
        <v>28</v>
      </c>
      <c r="J297" s="16" t="s">
        <v>29</v>
      </c>
      <c r="K297" s="16" t="s">
        <v>522</v>
      </c>
      <c r="L297" s="16" t="s">
        <v>413</v>
      </c>
      <c r="M297" s="16" t="s">
        <v>24</v>
      </c>
      <c r="N297" s="16">
        <v>8000</v>
      </c>
      <c r="O297" s="16">
        <v>0</v>
      </c>
      <c r="P297" s="16">
        <v>0</v>
      </c>
      <c r="Q297" s="16">
        <f t="shared" si="20"/>
        <v>0</v>
      </c>
      <c r="R297" s="16">
        <f t="shared" si="21"/>
        <v>0</v>
      </c>
      <c r="S297" s="16">
        <f t="shared" si="22"/>
        <v>0</v>
      </c>
      <c r="T297" s="30">
        <f t="shared" si="23"/>
        <v>0</v>
      </c>
      <c r="U297" s="30">
        <f t="shared" si="24"/>
        <v>0</v>
      </c>
    </row>
    <row r="298" spans="1:21" s="16" customFormat="1" ht="20" customHeight="1" x14ac:dyDescent="0.35">
      <c r="A298" s="16" t="s">
        <v>418</v>
      </c>
      <c r="B298" s="28">
        <v>46114</v>
      </c>
      <c r="C298" s="16" t="s">
        <v>36</v>
      </c>
      <c r="D298" s="16" t="s">
        <v>385</v>
      </c>
      <c r="E298" s="29">
        <v>46113</v>
      </c>
      <c r="F298" s="16" t="s">
        <v>112</v>
      </c>
      <c r="G298" s="16" t="s">
        <v>113</v>
      </c>
      <c r="H298" s="16">
        <v>4</v>
      </c>
      <c r="I298" s="16" t="s">
        <v>114</v>
      </c>
      <c r="J298" s="16" t="s">
        <v>115</v>
      </c>
      <c r="K298" s="16" t="s">
        <v>522</v>
      </c>
      <c r="L298" s="16" t="s">
        <v>116</v>
      </c>
      <c r="M298" s="16" t="s">
        <v>24</v>
      </c>
      <c r="N298" s="16">
        <v>0</v>
      </c>
      <c r="O298" s="16">
        <v>4</v>
      </c>
      <c r="P298" s="16">
        <v>0</v>
      </c>
      <c r="Q298" s="16">
        <f t="shared" si="20"/>
        <v>0</v>
      </c>
      <c r="R298" s="16">
        <f t="shared" si="21"/>
        <v>0</v>
      </c>
      <c r="S298" s="16">
        <f t="shared" si="22"/>
        <v>0</v>
      </c>
      <c r="T298" s="30">
        <f t="shared" si="23"/>
        <v>0</v>
      </c>
      <c r="U298" s="30">
        <f t="shared" si="24"/>
        <v>0</v>
      </c>
    </row>
    <row r="299" spans="1:21" s="16" customFormat="1" ht="20" customHeight="1" x14ac:dyDescent="0.35">
      <c r="A299" s="16" t="s">
        <v>419</v>
      </c>
      <c r="B299" s="28">
        <v>46114</v>
      </c>
      <c r="C299" s="16" t="s">
        <v>36</v>
      </c>
      <c r="D299" s="16" t="s">
        <v>385</v>
      </c>
      <c r="E299" s="29">
        <v>46113</v>
      </c>
      <c r="F299" s="16" t="s">
        <v>112</v>
      </c>
      <c r="G299" s="16" t="s">
        <v>118</v>
      </c>
      <c r="H299" s="16">
        <v>3</v>
      </c>
      <c r="I299" s="16" t="s">
        <v>114</v>
      </c>
      <c r="J299" s="16" t="s">
        <v>115</v>
      </c>
      <c r="K299" s="16" t="s">
        <v>522</v>
      </c>
      <c r="L299" s="16" t="s">
        <v>119</v>
      </c>
      <c r="M299" s="16" t="s">
        <v>24</v>
      </c>
      <c r="N299" s="16">
        <v>0</v>
      </c>
      <c r="O299" s="16">
        <v>0</v>
      </c>
      <c r="P299" s="16">
        <v>3</v>
      </c>
      <c r="Q299" s="16">
        <f t="shared" si="20"/>
        <v>0</v>
      </c>
      <c r="R299" s="16">
        <f t="shared" si="21"/>
        <v>0</v>
      </c>
      <c r="S299" s="16">
        <f t="shared" si="22"/>
        <v>0</v>
      </c>
      <c r="T299" s="30">
        <f t="shared" si="23"/>
        <v>0</v>
      </c>
      <c r="U299" s="30">
        <f t="shared" si="24"/>
        <v>0</v>
      </c>
    </row>
    <row r="300" spans="1:21" s="16" customFormat="1" ht="20" customHeight="1" x14ac:dyDescent="0.35">
      <c r="A300" s="16" t="s">
        <v>421</v>
      </c>
      <c r="B300" s="28">
        <v>46115</v>
      </c>
      <c r="C300" s="16" t="s">
        <v>39</v>
      </c>
      <c r="D300" s="16" t="s">
        <v>385</v>
      </c>
      <c r="E300" s="29">
        <v>46113</v>
      </c>
      <c r="F300" s="16" t="s">
        <v>65</v>
      </c>
      <c r="G300" s="16" t="s">
        <v>102</v>
      </c>
      <c r="H300" s="16">
        <v>6.5</v>
      </c>
      <c r="I300" s="16" t="s">
        <v>84</v>
      </c>
      <c r="J300" s="16" t="s">
        <v>99</v>
      </c>
      <c r="K300" s="16" t="s">
        <v>522</v>
      </c>
      <c r="L300" s="16" t="s">
        <v>417</v>
      </c>
      <c r="M300" s="16" t="s">
        <v>24</v>
      </c>
      <c r="N300" s="16">
        <v>0</v>
      </c>
      <c r="O300" s="16">
        <v>0</v>
      </c>
      <c r="P300" s="16">
        <v>0</v>
      </c>
      <c r="Q300" s="16">
        <f t="shared" si="20"/>
        <v>0</v>
      </c>
      <c r="R300" s="16">
        <f t="shared" si="21"/>
        <v>0</v>
      </c>
      <c r="S300" s="16">
        <f t="shared" si="22"/>
        <v>0</v>
      </c>
      <c r="T300" s="30">
        <f t="shared" si="23"/>
        <v>0</v>
      </c>
      <c r="U300" s="30">
        <f t="shared" si="24"/>
        <v>0</v>
      </c>
    </row>
    <row r="301" spans="1:21" s="16" customFormat="1" ht="20" customHeight="1" x14ac:dyDescent="0.35">
      <c r="A301" s="16" t="s">
        <v>422</v>
      </c>
      <c r="B301" s="28">
        <v>46115</v>
      </c>
      <c r="C301" s="16" t="s">
        <v>39</v>
      </c>
      <c r="D301" s="16" t="s">
        <v>385</v>
      </c>
      <c r="E301" s="29">
        <v>46113</v>
      </c>
      <c r="F301" s="16" t="s">
        <v>65</v>
      </c>
      <c r="G301" s="16" t="s">
        <v>105</v>
      </c>
      <c r="H301" s="16">
        <v>9</v>
      </c>
      <c r="I301" s="16" t="s">
        <v>106</v>
      </c>
      <c r="J301" s="16" t="s">
        <v>99</v>
      </c>
      <c r="K301" s="16" t="s">
        <v>522</v>
      </c>
      <c r="L301" s="16" t="s">
        <v>417</v>
      </c>
      <c r="M301" s="16" t="s">
        <v>24</v>
      </c>
      <c r="N301" s="16">
        <v>0</v>
      </c>
      <c r="O301" s="16">
        <v>0</v>
      </c>
      <c r="P301" s="16">
        <v>0</v>
      </c>
      <c r="Q301" s="16">
        <f t="shared" si="20"/>
        <v>0</v>
      </c>
      <c r="R301" s="16">
        <f t="shared" si="21"/>
        <v>0</v>
      </c>
      <c r="S301" s="16">
        <f t="shared" si="22"/>
        <v>0</v>
      </c>
      <c r="T301" s="30">
        <f t="shared" si="23"/>
        <v>0</v>
      </c>
      <c r="U301" s="30">
        <f t="shared" si="24"/>
        <v>9000</v>
      </c>
    </row>
    <row r="302" spans="1:21" s="16" customFormat="1" ht="20" customHeight="1" x14ac:dyDescent="0.35">
      <c r="A302" s="16" t="s">
        <v>423</v>
      </c>
      <c r="B302" s="28">
        <v>46115</v>
      </c>
      <c r="C302" s="16" t="s">
        <v>39</v>
      </c>
      <c r="D302" s="16" t="s">
        <v>385</v>
      </c>
      <c r="E302" s="29">
        <v>46113</v>
      </c>
      <c r="F302" s="16" t="s">
        <v>65</v>
      </c>
      <c r="G302" s="16" t="s">
        <v>153</v>
      </c>
      <c r="H302" s="16">
        <v>7</v>
      </c>
      <c r="I302" s="16" t="s">
        <v>106</v>
      </c>
      <c r="J302" s="16" t="s">
        <v>99</v>
      </c>
      <c r="K302" s="16" t="s">
        <v>522</v>
      </c>
      <c r="L302" s="16" t="s">
        <v>420</v>
      </c>
      <c r="M302" s="16" t="s">
        <v>24</v>
      </c>
      <c r="N302" s="16">
        <v>0</v>
      </c>
      <c r="O302" s="16">
        <v>0</v>
      </c>
      <c r="P302" s="16">
        <v>0</v>
      </c>
      <c r="Q302" s="16">
        <f t="shared" si="20"/>
        <v>0</v>
      </c>
      <c r="R302" s="16">
        <f t="shared" si="21"/>
        <v>0</v>
      </c>
      <c r="S302" s="16">
        <f t="shared" si="22"/>
        <v>0</v>
      </c>
      <c r="T302" s="30">
        <f t="shared" si="23"/>
        <v>0</v>
      </c>
      <c r="U302" s="30">
        <f t="shared" si="24"/>
        <v>0</v>
      </c>
    </row>
    <row r="303" spans="1:21" s="16" customFormat="1" ht="20" customHeight="1" x14ac:dyDescent="0.35">
      <c r="A303" s="16" t="s">
        <v>424</v>
      </c>
      <c r="B303" s="28">
        <v>46115</v>
      </c>
      <c r="C303" s="16" t="s">
        <v>39</v>
      </c>
      <c r="D303" s="16" t="s">
        <v>385</v>
      </c>
      <c r="E303" s="29">
        <v>46113</v>
      </c>
      <c r="F303" s="16" t="s">
        <v>26</v>
      </c>
      <c r="G303" s="16" t="s">
        <v>27</v>
      </c>
      <c r="H303" s="16">
        <v>8000</v>
      </c>
      <c r="I303" s="16" t="s">
        <v>28</v>
      </c>
      <c r="J303" s="16" t="s">
        <v>29</v>
      </c>
      <c r="K303" s="16" t="s">
        <v>522</v>
      </c>
      <c r="L303" s="16" t="s">
        <v>413</v>
      </c>
      <c r="M303" s="16" t="s">
        <v>24</v>
      </c>
      <c r="N303" s="16">
        <v>8000</v>
      </c>
      <c r="O303" s="16">
        <v>0</v>
      </c>
      <c r="P303" s="16">
        <v>0</v>
      </c>
      <c r="Q303" s="16">
        <f t="shared" si="20"/>
        <v>0</v>
      </c>
      <c r="R303" s="16">
        <f t="shared" si="21"/>
        <v>0</v>
      </c>
      <c r="S303" s="16">
        <f t="shared" si="22"/>
        <v>0</v>
      </c>
      <c r="T303" s="30">
        <f t="shared" si="23"/>
        <v>0</v>
      </c>
      <c r="U303" s="30">
        <f t="shared" si="24"/>
        <v>0</v>
      </c>
    </row>
    <row r="304" spans="1:21" s="16" customFormat="1" ht="20" customHeight="1" x14ac:dyDescent="0.35">
      <c r="A304" s="16" t="s">
        <v>425</v>
      </c>
      <c r="B304" s="28">
        <v>46115</v>
      </c>
      <c r="C304" s="16" t="s">
        <v>39</v>
      </c>
      <c r="D304" s="16" t="s">
        <v>385</v>
      </c>
      <c r="E304" s="29">
        <v>46113</v>
      </c>
      <c r="F304" s="16" t="s">
        <v>112</v>
      </c>
      <c r="G304" s="16" t="s">
        <v>113</v>
      </c>
      <c r="H304" s="16">
        <v>4</v>
      </c>
      <c r="I304" s="16" t="s">
        <v>114</v>
      </c>
      <c r="J304" s="16" t="s">
        <v>115</v>
      </c>
      <c r="K304" s="16" t="s">
        <v>522</v>
      </c>
      <c r="L304" s="16" t="s">
        <v>116</v>
      </c>
      <c r="M304" s="16" t="s">
        <v>24</v>
      </c>
      <c r="N304" s="16">
        <v>0</v>
      </c>
      <c r="O304" s="16">
        <v>4</v>
      </c>
      <c r="P304" s="16">
        <v>0</v>
      </c>
      <c r="Q304" s="16">
        <f t="shared" si="20"/>
        <v>0</v>
      </c>
      <c r="R304" s="16">
        <f t="shared" si="21"/>
        <v>0</v>
      </c>
      <c r="S304" s="16">
        <f t="shared" si="22"/>
        <v>0</v>
      </c>
      <c r="T304" s="30">
        <f t="shared" si="23"/>
        <v>0</v>
      </c>
      <c r="U304" s="30">
        <f t="shared" si="24"/>
        <v>0</v>
      </c>
    </row>
    <row r="305" spans="1:21" s="16" customFormat="1" ht="20" customHeight="1" x14ac:dyDescent="0.35">
      <c r="A305" s="16" t="s">
        <v>427</v>
      </c>
      <c r="B305" s="28">
        <v>46115</v>
      </c>
      <c r="C305" s="16" t="s">
        <v>39</v>
      </c>
      <c r="D305" s="16" t="s">
        <v>385</v>
      </c>
      <c r="E305" s="29">
        <v>46113</v>
      </c>
      <c r="F305" s="16" t="s">
        <v>112</v>
      </c>
      <c r="G305" s="16" t="s">
        <v>118</v>
      </c>
      <c r="H305" s="16">
        <v>3</v>
      </c>
      <c r="I305" s="16" t="s">
        <v>114</v>
      </c>
      <c r="J305" s="16" t="s">
        <v>115</v>
      </c>
      <c r="K305" s="16" t="s">
        <v>522</v>
      </c>
      <c r="L305" s="16" t="s">
        <v>119</v>
      </c>
      <c r="M305" s="16" t="s">
        <v>24</v>
      </c>
      <c r="N305" s="16">
        <v>0</v>
      </c>
      <c r="O305" s="16">
        <v>0</v>
      </c>
      <c r="P305" s="16">
        <v>3</v>
      </c>
      <c r="Q305" s="16">
        <f t="shared" si="20"/>
        <v>0</v>
      </c>
      <c r="R305" s="16">
        <f t="shared" si="21"/>
        <v>0</v>
      </c>
      <c r="S305" s="16">
        <f t="shared" si="22"/>
        <v>0</v>
      </c>
      <c r="T305" s="30">
        <f t="shared" si="23"/>
        <v>0</v>
      </c>
      <c r="U305" s="30">
        <f t="shared" si="24"/>
        <v>0</v>
      </c>
    </row>
    <row r="306" spans="1:21" s="16" customFormat="1" ht="20" customHeight="1" x14ac:dyDescent="0.35">
      <c r="A306" s="16" t="s">
        <v>428</v>
      </c>
      <c r="B306" s="28">
        <v>46116</v>
      </c>
      <c r="C306" s="16" t="s">
        <v>42</v>
      </c>
      <c r="D306" s="16" t="s">
        <v>385</v>
      </c>
      <c r="E306" s="29">
        <v>46113</v>
      </c>
      <c r="F306" s="16" t="s">
        <v>65</v>
      </c>
      <c r="G306" s="16" t="s">
        <v>98</v>
      </c>
      <c r="H306" s="16">
        <v>6</v>
      </c>
      <c r="I306" s="16" t="s">
        <v>21</v>
      </c>
      <c r="J306" s="16" t="s">
        <v>99</v>
      </c>
      <c r="K306" s="16" t="s">
        <v>522</v>
      </c>
      <c r="L306" s="16" t="s">
        <v>100</v>
      </c>
      <c r="M306" s="16" t="s">
        <v>24</v>
      </c>
      <c r="N306" s="16">
        <v>0</v>
      </c>
      <c r="O306" s="16">
        <v>0</v>
      </c>
      <c r="P306" s="16">
        <v>0</v>
      </c>
      <c r="Q306" s="16">
        <f t="shared" si="20"/>
        <v>0</v>
      </c>
      <c r="R306" s="16">
        <f t="shared" si="21"/>
        <v>0</v>
      </c>
      <c r="S306" s="16">
        <f t="shared" si="22"/>
        <v>3000</v>
      </c>
      <c r="T306" s="30">
        <f t="shared" si="23"/>
        <v>0</v>
      </c>
      <c r="U306" s="30">
        <f t="shared" si="24"/>
        <v>0</v>
      </c>
    </row>
    <row r="307" spans="1:21" s="16" customFormat="1" ht="20" customHeight="1" x14ac:dyDescent="0.35">
      <c r="A307" s="16" t="s">
        <v>430</v>
      </c>
      <c r="B307" s="28">
        <v>46116</v>
      </c>
      <c r="C307" s="16" t="s">
        <v>42</v>
      </c>
      <c r="D307" s="16" t="s">
        <v>385</v>
      </c>
      <c r="E307" s="29">
        <v>46113</v>
      </c>
      <c r="F307" s="16" t="s">
        <v>65</v>
      </c>
      <c r="G307" s="16" t="s">
        <v>102</v>
      </c>
      <c r="H307" s="16">
        <v>11</v>
      </c>
      <c r="I307" s="16" t="s">
        <v>84</v>
      </c>
      <c r="J307" s="16" t="s">
        <v>99</v>
      </c>
      <c r="K307" s="16" t="s">
        <v>522</v>
      </c>
      <c r="L307" s="16" t="s">
        <v>426</v>
      </c>
      <c r="M307" s="16" t="s">
        <v>24</v>
      </c>
      <c r="N307" s="16">
        <v>0</v>
      </c>
      <c r="O307" s="16">
        <v>0</v>
      </c>
      <c r="P307" s="16">
        <v>0</v>
      </c>
      <c r="Q307" s="16">
        <f t="shared" si="20"/>
        <v>0</v>
      </c>
      <c r="R307" s="16">
        <f t="shared" si="21"/>
        <v>0</v>
      </c>
      <c r="S307" s="16">
        <f t="shared" si="22"/>
        <v>0</v>
      </c>
      <c r="T307" s="30">
        <f t="shared" si="23"/>
        <v>0</v>
      </c>
      <c r="U307" s="30">
        <f t="shared" si="24"/>
        <v>0</v>
      </c>
    </row>
    <row r="308" spans="1:21" s="16" customFormat="1" ht="20" customHeight="1" x14ac:dyDescent="0.35">
      <c r="A308" s="16" t="s">
        <v>431</v>
      </c>
      <c r="B308" s="28">
        <v>46116</v>
      </c>
      <c r="C308" s="16" t="s">
        <v>42</v>
      </c>
      <c r="D308" s="16" t="s">
        <v>385</v>
      </c>
      <c r="E308" s="29">
        <v>46113</v>
      </c>
      <c r="F308" s="16" t="s">
        <v>65</v>
      </c>
      <c r="G308" s="16" t="s">
        <v>105</v>
      </c>
      <c r="H308" s="16">
        <v>4</v>
      </c>
      <c r="I308" s="16" t="s">
        <v>106</v>
      </c>
      <c r="J308" s="16" t="s">
        <v>99</v>
      </c>
      <c r="K308" s="16" t="s">
        <v>522</v>
      </c>
      <c r="L308" s="16" t="s">
        <v>426</v>
      </c>
      <c r="M308" s="16" t="s">
        <v>24</v>
      </c>
      <c r="N308" s="16">
        <v>0</v>
      </c>
      <c r="O308" s="16">
        <v>0</v>
      </c>
      <c r="P308" s="16">
        <v>0</v>
      </c>
      <c r="Q308" s="16">
        <f t="shared" si="20"/>
        <v>0</v>
      </c>
      <c r="R308" s="16">
        <f t="shared" si="21"/>
        <v>0</v>
      </c>
      <c r="S308" s="16">
        <f t="shared" si="22"/>
        <v>0</v>
      </c>
      <c r="T308" s="30">
        <f t="shared" si="23"/>
        <v>0</v>
      </c>
      <c r="U308" s="30">
        <f t="shared" si="24"/>
        <v>4000</v>
      </c>
    </row>
    <row r="309" spans="1:21" s="16" customFormat="1" ht="20" customHeight="1" x14ac:dyDescent="0.35">
      <c r="A309" s="16" t="s">
        <v>432</v>
      </c>
      <c r="B309" s="28">
        <v>46116</v>
      </c>
      <c r="C309" s="16" t="s">
        <v>42</v>
      </c>
      <c r="D309" s="16" t="s">
        <v>385</v>
      </c>
      <c r="E309" s="29">
        <v>46113</v>
      </c>
      <c r="F309" s="16" t="s">
        <v>65</v>
      </c>
      <c r="G309" s="16" t="s">
        <v>153</v>
      </c>
      <c r="H309" s="16">
        <v>3</v>
      </c>
      <c r="I309" s="16" t="s">
        <v>106</v>
      </c>
      <c r="J309" s="16" t="s">
        <v>99</v>
      </c>
      <c r="K309" s="16" t="s">
        <v>522</v>
      </c>
      <c r="L309" s="16" t="s">
        <v>429</v>
      </c>
      <c r="M309" s="16" t="s">
        <v>24</v>
      </c>
      <c r="N309" s="16">
        <v>0</v>
      </c>
      <c r="O309" s="16">
        <v>0</v>
      </c>
      <c r="P309" s="16">
        <v>0</v>
      </c>
      <c r="Q309" s="16">
        <f t="shared" si="20"/>
        <v>0</v>
      </c>
      <c r="R309" s="16">
        <f t="shared" si="21"/>
        <v>0</v>
      </c>
      <c r="S309" s="16">
        <f t="shared" si="22"/>
        <v>0</v>
      </c>
      <c r="T309" s="30">
        <f t="shared" si="23"/>
        <v>0</v>
      </c>
      <c r="U309" s="30">
        <f t="shared" si="24"/>
        <v>0</v>
      </c>
    </row>
    <row r="310" spans="1:21" s="16" customFormat="1" ht="20" customHeight="1" x14ac:dyDescent="0.35">
      <c r="A310" s="16" t="s">
        <v>433</v>
      </c>
      <c r="B310" s="28">
        <v>46116</v>
      </c>
      <c r="C310" s="16" t="s">
        <v>42</v>
      </c>
      <c r="D310" s="16" t="s">
        <v>385</v>
      </c>
      <c r="E310" s="29">
        <v>46113</v>
      </c>
      <c r="F310" s="16" t="s">
        <v>26</v>
      </c>
      <c r="G310" s="16" t="s">
        <v>27</v>
      </c>
      <c r="H310" s="16">
        <v>6000</v>
      </c>
      <c r="I310" s="16" t="s">
        <v>28</v>
      </c>
      <c r="J310" s="16" t="s">
        <v>29</v>
      </c>
      <c r="K310" s="16" t="s">
        <v>522</v>
      </c>
      <c r="L310" s="16" t="s">
        <v>127</v>
      </c>
      <c r="M310" s="16" t="s">
        <v>24</v>
      </c>
      <c r="N310" s="16">
        <v>6000</v>
      </c>
      <c r="O310" s="16">
        <v>0</v>
      </c>
      <c r="P310" s="16">
        <v>0</v>
      </c>
      <c r="Q310" s="16">
        <f t="shared" si="20"/>
        <v>0</v>
      </c>
      <c r="R310" s="16">
        <f t="shared" si="21"/>
        <v>0</v>
      </c>
      <c r="S310" s="16">
        <f t="shared" si="22"/>
        <v>0</v>
      </c>
      <c r="T310" s="30">
        <f t="shared" si="23"/>
        <v>0</v>
      </c>
      <c r="U310" s="30">
        <f t="shared" si="24"/>
        <v>0</v>
      </c>
    </row>
    <row r="311" spans="1:21" s="16" customFormat="1" ht="20" customHeight="1" x14ac:dyDescent="0.35">
      <c r="A311" s="16" t="s">
        <v>435</v>
      </c>
      <c r="B311" s="28">
        <v>46116</v>
      </c>
      <c r="C311" s="16" t="s">
        <v>42</v>
      </c>
      <c r="D311" s="16" t="s">
        <v>385</v>
      </c>
      <c r="E311" s="29">
        <v>46113</v>
      </c>
      <c r="F311" s="16" t="s">
        <v>112</v>
      </c>
      <c r="G311" s="16" t="s">
        <v>113</v>
      </c>
      <c r="H311" s="16">
        <v>3</v>
      </c>
      <c r="I311" s="16" t="s">
        <v>114</v>
      </c>
      <c r="J311" s="16" t="s">
        <v>115</v>
      </c>
      <c r="K311" s="16" t="s">
        <v>522</v>
      </c>
      <c r="L311" s="16" t="s">
        <v>116</v>
      </c>
      <c r="M311" s="16" t="s">
        <v>24</v>
      </c>
      <c r="N311" s="16">
        <v>0</v>
      </c>
      <c r="O311" s="16">
        <v>3</v>
      </c>
      <c r="P311" s="16">
        <v>0</v>
      </c>
      <c r="Q311" s="16">
        <f t="shared" si="20"/>
        <v>0</v>
      </c>
      <c r="R311" s="16">
        <f t="shared" si="21"/>
        <v>0</v>
      </c>
      <c r="S311" s="16">
        <f t="shared" si="22"/>
        <v>0</v>
      </c>
      <c r="T311" s="30">
        <f t="shared" si="23"/>
        <v>0</v>
      </c>
      <c r="U311" s="30">
        <f t="shared" si="24"/>
        <v>0</v>
      </c>
    </row>
    <row r="312" spans="1:21" s="16" customFormat="1" ht="20" customHeight="1" x14ac:dyDescent="0.35">
      <c r="A312" s="16" t="s">
        <v>436</v>
      </c>
      <c r="B312" s="28">
        <v>46116</v>
      </c>
      <c r="C312" s="16" t="s">
        <v>42</v>
      </c>
      <c r="D312" s="16" t="s">
        <v>385</v>
      </c>
      <c r="E312" s="29">
        <v>46113</v>
      </c>
      <c r="F312" s="16" t="s">
        <v>112</v>
      </c>
      <c r="G312" s="16" t="s">
        <v>118</v>
      </c>
      <c r="H312" s="16">
        <v>2</v>
      </c>
      <c r="I312" s="16" t="s">
        <v>114</v>
      </c>
      <c r="J312" s="16" t="s">
        <v>115</v>
      </c>
      <c r="K312" s="16" t="s">
        <v>522</v>
      </c>
      <c r="L312" s="16" t="s">
        <v>119</v>
      </c>
      <c r="M312" s="16" t="s">
        <v>24</v>
      </c>
      <c r="N312" s="16">
        <v>0</v>
      </c>
      <c r="O312" s="16">
        <v>0</v>
      </c>
      <c r="P312" s="16">
        <v>2</v>
      </c>
      <c r="Q312" s="16">
        <f t="shared" si="20"/>
        <v>0</v>
      </c>
      <c r="R312" s="16">
        <f t="shared" si="21"/>
        <v>0</v>
      </c>
      <c r="S312" s="16">
        <f t="shared" si="22"/>
        <v>0</v>
      </c>
      <c r="T312" s="30">
        <f t="shared" si="23"/>
        <v>0</v>
      </c>
      <c r="U312" s="30">
        <f t="shared" si="24"/>
        <v>0</v>
      </c>
    </row>
    <row r="313" spans="1:21" s="16" customFormat="1" ht="20" customHeight="1" x14ac:dyDescent="0.35">
      <c r="A313" s="16" t="s">
        <v>437</v>
      </c>
      <c r="B313" s="28">
        <v>46117</v>
      </c>
      <c r="C313" s="16" t="s">
        <v>45</v>
      </c>
      <c r="D313" s="16" t="s">
        <v>385</v>
      </c>
      <c r="E313" s="29">
        <v>46113</v>
      </c>
      <c r="F313" s="16" t="s">
        <v>65</v>
      </c>
      <c r="G313" s="16" t="s">
        <v>102</v>
      </c>
      <c r="H313" s="16">
        <v>10</v>
      </c>
      <c r="I313" s="16" t="s">
        <v>84</v>
      </c>
      <c r="J313" s="16" t="s">
        <v>99</v>
      </c>
      <c r="K313" s="16" t="s">
        <v>522</v>
      </c>
      <c r="L313" s="16" t="s">
        <v>434</v>
      </c>
      <c r="M313" s="16" t="s">
        <v>24</v>
      </c>
      <c r="N313" s="16">
        <v>0</v>
      </c>
      <c r="O313" s="16">
        <v>0</v>
      </c>
      <c r="P313" s="16">
        <v>0</v>
      </c>
      <c r="Q313" s="16">
        <f t="shared" si="20"/>
        <v>0</v>
      </c>
      <c r="R313" s="16">
        <f t="shared" si="21"/>
        <v>0</v>
      </c>
      <c r="S313" s="16">
        <f t="shared" si="22"/>
        <v>0</v>
      </c>
      <c r="T313" s="30">
        <f t="shared" si="23"/>
        <v>0</v>
      </c>
      <c r="U313" s="30">
        <f t="shared" si="24"/>
        <v>0</v>
      </c>
    </row>
    <row r="314" spans="1:21" s="16" customFormat="1" ht="20" customHeight="1" x14ac:dyDescent="0.35">
      <c r="A314" s="16" t="s">
        <v>439</v>
      </c>
      <c r="B314" s="28">
        <v>46117</v>
      </c>
      <c r="C314" s="16" t="s">
        <v>45</v>
      </c>
      <c r="D314" s="16" t="s">
        <v>385</v>
      </c>
      <c r="E314" s="29">
        <v>46113</v>
      </c>
      <c r="F314" s="16" t="s">
        <v>65</v>
      </c>
      <c r="G314" s="16" t="s">
        <v>105</v>
      </c>
      <c r="H314" s="16">
        <v>5</v>
      </c>
      <c r="I314" s="16" t="s">
        <v>106</v>
      </c>
      <c r="J314" s="16" t="s">
        <v>99</v>
      </c>
      <c r="K314" s="16" t="s">
        <v>522</v>
      </c>
      <c r="L314" s="16" t="s">
        <v>434</v>
      </c>
      <c r="M314" s="16" t="s">
        <v>24</v>
      </c>
      <c r="N314" s="16">
        <v>0</v>
      </c>
      <c r="O314" s="16">
        <v>0</v>
      </c>
      <c r="P314" s="16">
        <v>0</v>
      </c>
      <c r="Q314" s="16">
        <f t="shared" si="20"/>
        <v>0</v>
      </c>
      <c r="R314" s="16">
        <f t="shared" si="21"/>
        <v>0</v>
      </c>
      <c r="S314" s="16">
        <f t="shared" si="22"/>
        <v>0</v>
      </c>
      <c r="T314" s="30">
        <f t="shared" si="23"/>
        <v>0</v>
      </c>
      <c r="U314" s="30">
        <f t="shared" si="24"/>
        <v>5000</v>
      </c>
    </row>
    <row r="315" spans="1:21" s="16" customFormat="1" ht="20" customHeight="1" x14ac:dyDescent="0.35">
      <c r="A315" s="16" t="s">
        <v>440</v>
      </c>
      <c r="B315" s="28">
        <v>46117</v>
      </c>
      <c r="C315" s="16" t="s">
        <v>45</v>
      </c>
      <c r="D315" s="16" t="s">
        <v>385</v>
      </c>
      <c r="E315" s="29">
        <v>46113</v>
      </c>
      <c r="F315" s="16" t="s">
        <v>65</v>
      </c>
      <c r="G315" s="16" t="s">
        <v>153</v>
      </c>
      <c r="H315" s="16">
        <v>3</v>
      </c>
      <c r="I315" s="16" t="s">
        <v>106</v>
      </c>
      <c r="J315" s="16" t="s">
        <v>99</v>
      </c>
      <c r="K315" s="16" t="s">
        <v>522</v>
      </c>
      <c r="L315" s="16" t="s">
        <v>248</v>
      </c>
      <c r="M315" s="16" t="s">
        <v>24</v>
      </c>
      <c r="N315" s="16">
        <v>0</v>
      </c>
      <c r="O315" s="16">
        <v>0</v>
      </c>
      <c r="P315" s="16">
        <v>0</v>
      </c>
      <c r="Q315" s="16">
        <f t="shared" si="20"/>
        <v>0</v>
      </c>
      <c r="R315" s="16">
        <f t="shared" si="21"/>
        <v>0</v>
      </c>
      <c r="S315" s="16">
        <f t="shared" si="22"/>
        <v>0</v>
      </c>
      <c r="T315" s="30">
        <f t="shared" si="23"/>
        <v>0</v>
      </c>
      <c r="U315" s="30">
        <f t="shared" si="24"/>
        <v>0</v>
      </c>
    </row>
    <row r="316" spans="1:21" s="16" customFormat="1" ht="20" customHeight="1" x14ac:dyDescent="0.35">
      <c r="A316" s="16" t="s">
        <v>441</v>
      </c>
      <c r="B316" s="28">
        <v>46117</v>
      </c>
      <c r="C316" s="16" t="s">
        <v>45</v>
      </c>
      <c r="D316" s="16" t="s">
        <v>385</v>
      </c>
      <c r="E316" s="29">
        <v>46113</v>
      </c>
      <c r="F316" s="16" t="s">
        <v>26</v>
      </c>
      <c r="G316" s="16" t="s">
        <v>27</v>
      </c>
      <c r="H316" s="16">
        <v>8000</v>
      </c>
      <c r="I316" s="16" t="s">
        <v>28</v>
      </c>
      <c r="J316" s="16" t="s">
        <v>29</v>
      </c>
      <c r="K316" s="16" t="s">
        <v>522</v>
      </c>
      <c r="L316" s="16" t="s">
        <v>438</v>
      </c>
      <c r="M316" s="16" t="s">
        <v>24</v>
      </c>
      <c r="N316" s="16">
        <v>8000</v>
      </c>
      <c r="O316" s="16">
        <v>0</v>
      </c>
      <c r="P316" s="16">
        <v>0</v>
      </c>
      <c r="Q316" s="16">
        <f t="shared" si="20"/>
        <v>0</v>
      </c>
      <c r="R316" s="16">
        <f t="shared" si="21"/>
        <v>0</v>
      </c>
      <c r="S316" s="16">
        <f t="shared" si="22"/>
        <v>0</v>
      </c>
      <c r="T316" s="30">
        <f t="shared" si="23"/>
        <v>0</v>
      </c>
      <c r="U316" s="30">
        <f t="shared" si="24"/>
        <v>0</v>
      </c>
    </row>
    <row r="317" spans="1:21" s="16" customFormat="1" ht="20" customHeight="1" x14ac:dyDescent="0.35">
      <c r="A317" s="16" t="s">
        <v>443</v>
      </c>
      <c r="B317" s="28">
        <v>46117</v>
      </c>
      <c r="C317" s="16" t="s">
        <v>45</v>
      </c>
      <c r="D317" s="16" t="s">
        <v>385</v>
      </c>
      <c r="E317" s="29">
        <v>46113</v>
      </c>
      <c r="F317" s="16" t="s">
        <v>112</v>
      </c>
      <c r="G317" s="16" t="s">
        <v>113</v>
      </c>
      <c r="H317" s="16">
        <v>4</v>
      </c>
      <c r="I317" s="16" t="s">
        <v>114</v>
      </c>
      <c r="J317" s="16" t="s">
        <v>115</v>
      </c>
      <c r="K317" s="16" t="s">
        <v>522</v>
      </c>
      <c r="L317" s="16" t="s">
        <v>116</v>
      </c>
      <c r="M317" s="16" t="s">
        <v>24</v>
      </c>
      <c r="N317" s="16">
        <v>0</v>
      </c>
      <c r="O317" s="16">
        <v>4</v>
      </c>
      <c r="P317" s="16">
        <v>0</v>
      </c>
      <c r="Q317" s="16">
        <f t="shared" si="20"/>
        <v>0</v>
      </c>
      <c r="R317" s="16">
        <f t="shared" si="21"/>
        <v>0</v>
      </c>
      <c r="S317" s="16">
        <f t="shared" si="22"/>
        <v>0</v>
      </c>
      <c r="T317" s="30">
        <f t="shared" si="23"/>
        <v>0</v>
      </c>
      <c r="U317" s="30">
        <f t="shared" si="24"/>
        <v>0</v>
      </c>
    </row>
    <row r="318" spans="1:21" s="16" customFormat="1" ht="20" customHeight="1" x14ac:dyDescent="0.35">
      <c r="A318" s="16" t="s">
        <v>444</v>
      </c>
      <c r="B318" s="28">
        <v>46117</v>
      </c>
      <c r="C318" s="16" t="s">
        <v>45</v>
      </c>
      <c r="D318" s="16" t="s">
        <v>385</v>
      </c>
      <c r="E318" s="29">
        <v>46113</v>
      </c>
      <c r="F318" s="16" t="s">
        <v>112</v>
      </c>
      <c r="G318" s="16" t="s">
        <v>118</v>
      </c>
      <c r="H318" s="16">
        <v>3</v>
      </c>
      <c r="I318" s="16" t="s">
        <v>114</v>
      </c>
      <c r="J318" s="16" t="s">
        <v>115</v>
      </c>
      <c r="K318" s="16" t="s">
        <v>522</v>
      </c>
      <c r="L318" s="16" t="s">
        <v>119</v>
      </c>
      <c r="M318" s="16" t="s">
        <v>24</v>
      </c>
      <c r="N318" s="16">
        <v>0</v>
      </c>
      <c r="O318" s="16">
        <v>0</v>
      </c>
      <c r="P318" s="16">
        <v>3</v>
      </c>
      <c r="Q318" s="16">
        <f t="shared" si="20"/>
        <v>0</v>
      </c>
      <c r="R318" s="16">
        <f t="shared" si="21"/>
        <v>0</v>
      </c>
      <c r="S318" s="16">
        <f t="shared" si="22"/>
        <v>0</v>
      </c>
      <c r="T318" s="30">
        <f t="shared" si="23"/>
        <v>0</v>
      </c>
      <c r="U318" s="30">
        <f t="shared" si="24"/>
        <v>0</v>
      </c>
    </row>
    <row r="319" spans="1:21" s="16" customFormat="1" ht="20" customHeight="1" x14ac:dyDescent="0.35">
      <c r="A319" s="16" t="s">
        <v>445</v>
      </c>
      <c r="B319" s="28">
        <v>46118</v>
      </c>
      <c r="C319" s="16" t="s">
        <v>50</v>
      </c>
      <c r="D319" s="16" t="s">
        <v>442</v>
      </c>
      <c r="E319" s="29">
        <v>46113</v>
      </c>
      <c r="F319" s="16" t="s">
        <v>65</v>
      </c>
      <c r="G319" s="16" t="s">
        <v>139</v>
      </c>
      <c r="H319" s="16">
        <v>6</v>
      </c>
      <c r="I319" s="16" t="s">
        <v>21</v>
      </c>
      <c r="J319" s="16" t="s">
        <v>99</v>
      </c>
      <c r="K319" s="16" t="s">
        <v>522</v>
      </c>
      <c r="L319" s="16" t="s">
        <v>160</v>
      </c>
      <c r="M319" s="16" t="s">
        <v>24</v>
      </c>
      <c r="N319" s="16">
        <v>0</v>
      </c>
      <c r="O319" s="16">
        <v>0</v>
      </c>
      <c r="P319" s="16">
        <v>0</v>
      </c>
      <c r="Q319" s="16">
        <f t="shared" si="20"/>
        <v>0</v>
      </c>
      <c r="R319" s="16">
        <f t="shared" si="21"/>
        <v>0</v>
      </c>
      <c r="S319" s="16">
        <f t="shared" si="22"/>
        <v>0</v>
      </c>
      <c r="T319" s="30">
        <f t="shared" si="23"/>
        <v>6000</v>
      </c>
      <c r="U319" s="30">
        <f t="shared" si="24"/>
        <v>0</v>
      </c>
    </row>
    <row r="320" spans="1:21" s="16" customFormat="1" ht="20" customHeight="1" x14ac:dyDescent="0.35">
      <c r="A320" s="16" t="s">
        <v>446</v>
      </c>
      <c r="B320" s="28">
        <v>46118</v>
      </c>
      <c r="C320" s="16" t="s">
        <v>50</v>
      </c>
      <c r="D320" s="16" t="s">
        <v>442</v>
      </c>
      <c r="E320" s="29">
        <v>46113</v>
      </c>
      <c r="F320" s="16" t="s">
        <v>65</v>
      </c>
      <c r="G320" s="16" t="s">
        <v>102</v>
      </c>
      <c r="H320" s="16">
        <v>10.5</v>
      </c>
      <c r="I320" s="16" t="s">
        <v>84</v>
      </c>
      <c r="J320" s="16" t="s">
        <v>99</v>
      </c>
      <c r="K320" s="16" t="s">
        <v>522</v>
      </c>
      <c r="L320" s="16" t="s">
        <v>160</v>
      </c>
      <c r="M320" s="16" t="s">
        <v>24</v>
      </c>
      <c r="N320" s="16">
        <v>0</v>
      </c>
      <c r="O320" s="16">
        <v>0</v>
      </c>
      <c r="P320" s="16">
        <v>0</v>
      </c>
      <c r="Q320" s="16">
        <f t="shared" si="20"/>
        <v>0</v>
      </c>
      <c r="R320" s="16">
        <f t="shared" si="21"/>
        <v>0</v>
      </c>
      <c r="S320" s="16">
        <f t="shared" si="22"/>
        <v>0</v>
      </c>
      <c r="T320" s="30">
        <f t="shared" si="23"/>
        <v>0</v>
      </c>
      <c r="U320" s="30">
        <f t="shared" si="24"/>
        <v>0</v>
      </c>
    </row>
    <row r="321" spans="1:21" s="16" customFormat="1" ht="20" customHeight="1" x14ac:dyDescent="0.35">
      <c r="A321" s="16" t="s">
        <v>447</v>
      </c>
      <c r="B321" s="28">
        <v>46118</v>
      </c>
      <c r="C321" s="16" t="s">
        <v>50</v>
      </c>
      <c r="D321" s="16" t="s">
        <v>442</v>
      </c>
      <c r="E321" s="29">
        <v>46113</v>
      </c>
      <c r="F321" s="16" t="s">
        <v>65</v>
      </c>
      <c r="G321" s="16" t="s">
        <v>105</v>
      </c>
      <c r="H321" s="16">
        <v>5</v>
      </c>
      <c r="I321" s="16" t="s">
        <v>106</v>
      </c>
      <c r="J321" s="16" t="s">
        <v>99</v>
      </c>
      <c r="K321" s="16" t="s">
        <v>522</v>
      </c>
      <c r="L321" s="16" t="s">
        <v>160</v>
      </c>
      <c r="M321" s="16" t="s">
        <v>24</v>
      </c>
      <c r="N321" s="16">
        <v>0</v>
      </c>
      <c r="O321" s="16">
        <v>0</v>
      </c>
      <c r="P321" s="16">
        <v>0</v>
      </c>
      <c r="Q321" s="16">
        <f t="shared" si="20"/>
        <v>0</v>
      </c>
      <c r="R321" s="16">
        <f t="shared" si="21"/>
        <v>0</v>
      </c>
      <c r="S321" s="16">
        <f t="shared" si="22"/>
        <v>0</v>
      </c>
      <c r="T321" s="30">
        <f t="shared" si="23"/>
        <v>0</v>
      </c>
      <c r="U321" s="30">
        <f t="shared" si="24"/>
        <v>5000</v>
      </c>
    </row>
    <row r="322" spans="1:21" s="16" customFormat="1" ht="20" customHeight="1" x14ac:dyDescent="0.35">
      <c r="A322" s="16" t="s">
        <v>448</v>
      </c>
      <c r="B322" s="28">
        <v>46118</v>
      </c>
      <c r="C322" s="16" t="s">
        <v>50</v>
      </c>
      <c r="D322" s="16" t="s">
        <v>442</v>
      </c>
      <c r="E322" s="29">
        <v>46113</v>
      </c>
      <c r="F322" s="16" t="s">
        <v>26</v>
      </c>
      <c r="G322" s="16" t="s">
        <v>27</v>
      </c>
      <c r="H322" s="16">
        <v>8000</v>
      </c>
      <c r="I322" s="16" t="s">
        <v>28</v>
      </c>
      <c r="J322" s="16" t="s">
        <v>29</v>
      </c>
      <c r="K322" s="16" t="s">
        <v>522</v>
      </c>
      <c r="L322" s="16" t="s">
        <v>168</v>
      </c>
      <c r="M322" s="16" t="s">
        <v>24</v>
      </c>
      <c r="N322" s="16">
        <v>8000</v>
      </c>
      <c r="O322" s="16">
        <v>0</v>
      </c>
      <c r="P322" s="16">
        <v>0</v>
      </c>
      <c r="Q322" s="16">
        <f t="shared" ref="Q322:Q349" si="25">IF(AND(OR(F322="Work",F322="Adjustment"),OR(ISNUMBER(SEARCH("Excavation",G322)),G322="Excavation Repair")),IF(K322="Chairman Street",800,IF(K322="INEC Street",1000,0)),0)</f>
        <v>0</v>
      </c>
      <c r="R322" s="16">
        <f t="shared" ref="R322:R349" si="26">IF(AND(OR(F322="Work", F322="Adjustment"), OR(ISNUMBER(SEARCH("Excavation", G322)), G322="Excavation Repair")), H322 * IF(K322="Site A", 800, IF(K322="Site B", 1000, 0)), 0)</f>
        <v>0</v>
      </c>
      <c r="S322" s="16">
        <f t="shared" ref="S322:S349" si="27">IF(G322="Base Casting",H322*500,0)</f>
        <v>0</v>
      </c>
      <c r="T322" s="30">
        <f t="shared" ref="T322:T349" si="28">IF(G322="Wall Casting",H322*1000,0)</f>
        <v>0</v>
      </c>
      <c r="U322" s="30">
        <f t="shared" ref="U322:U349" si="29">IF(G322="Water Supply",H322*1000,0)</f>
        <v>0</v>
      </c>
    </row>
    <row r="323" spans="1:21" s="16" customFormat="1" ht="20" customHeight="1" x14ac:dyDescent="0.35">
      <c r="A323" s="16" t="s">
        <v>450</v>
      </c>
      <c r="B323" s="28">
        <v>46118</v>
      </c>
      <c r="C323" s="16" t="s">
        <v>50</v>
      </c>
      <c r="D323" s="16" t="s">
        <v>442</v>
      </c>
      <c r="E323" s="29">
        <v>46113</v>
      </c>
      <c r="F323" s="16" t="s">
        <v>112</v>
      </c>
      <c r="G323" s="16" t="s">
        <v>113</v>
      </c>
      <c r="H323" s="16">
        <v>4</v>
      </c>
      <c r="I323" s="16" t="s">
        <v>114</v>
      </c>
      <c r="J323" s="16" t="s">
        <v>115</v>
      </c>
      <c r="K323" s="16" t="s">
        <v>522</v>
      </c>
      <c r="L323" s="16" t="s">
        <v>116</v>
      </c>
      <c r="M323" s="16" t="s">
        <v>24</v>
      </c>
      <c r="N323" s="16">
        <v>0</v>
      </c>
      <c r="O323" s="16">
        <v>4</v>
      </c>
      <c r="P323" s="16">
        <v>0</v>
      </c>
      <c r="Q323" s="16">
        <f t="shared" si="25"/>
        <v>0</v>
      </c>
      <c r="R323" s="16">
        <f t="shared" si="26"/>
        <v>0</v>
      </c>
      <c r="S323" s="16">
        <f t="shared" si="27"/>
        <v>0</v>
      </c>
      <c r="T323" s="30">
        <f t="shared" si="28"/>
        <v>0</v>
      </c>
      <c r="U323" s="30">
        <f t="shared" si="29"/>
        <v>0</v>
      </c>
    </row>
    <row r="324" spans="1:21" s="16" customFormat="1" ht="20" customHeight="1" x14ac:dyDescent="0.35">
      <c r="A324" s="16" t="s">
        <v>452</v>
      </c>
      <c r="B324" s="28">
        <v>46118</v>
      </c>
      <c r="C324" s="16" t="s">
        <v>50</v>
      </c>
      <c r="D324" s="16" t="s">
        <v>442</v>
      </c>
      <c r="E324" s="29">
        <v>46113</v>
      </c>
      <c r="F324" s="16" t="s">
        <v>112</v>
      </c>
      <c r="G324" s="16" t="s">
        <v>118</v>
      </c>
      <c r="H324" s="16">
        <v>3</v>
      </c>
      <c r="I324" s="16" t="s">
        <v>114</v>
      </c>
      <c r="J324" s="16" t="s">
        <v>115</v>
      </c>
      <c r="K324" s="16" t="s">
        <v>522</v>
      </c>
      <c r="L324" s="16" t="s">
        <v>119</v>
      </c>
      <c r="M324" s="16" t="s">
        <v>24</v>
      </c>
      <c r="N324" s="16">
        <v>0</v>
      </c>
      <c r="O324" s="16">
        <v>0</v>
      </c>
      <c r="P324" s="16">
        <v>3</v>
      </c>
      <c r="Q324" s="16">
        <f t="shared" si="25"/>
        <v>0</v>
      </c>
      <c r="R324" s="16">
        <f t="shared" si="26"/>
        <v>0</v>
      </c>
      <c r="S324" s="16">
        <f t="shared" si="27"/>
        <v>0</v>
      </c>
      <c r="T324" s="30">
        <f t="shared" si="28"/>
        <v>0</v>
      </c>
      <c r="U324" s="30">
        <f t="shared" si="29"/>
        <v>0</v>
      </c>
    </row>
    <row r="325" spans="1:21" s="16" customFormat="1" ht="20" customHeight="1" x14ac:dyDescent="0.35">
      <c r="A325" s="16" t="s">
        <v>454</v>
      </c>
      <c r="B325" s="28">
        <v>46119</v>
      </c>
      <c r="C325" s="16" t="s">
        <v>17</v>
      </c>
      <c r="D325" s="16" t="s">
        <v>442</v>
      </c>
      <c r="E325" s="29">
        <v>46113</v>
      </c>
      <c r="F325" s="16" t="s">
        <v>65</v>
      </c>
      <c r="G325" s="16" t="s">
        <v>102</v>
      </c>
      <c r="H325" s="16">
        <v>8.5</v>
      </c>
      <c r="I325" s="16" t="s">
        <v>84</v>
      </c>
      <c r="J325" s="16" t="s">
        <v>99</v>
      </c>
      <c r="K325" s="16" t="s">
        <v>522</v>
      </c>
      <c r="L325" s="16" t="s">
        <v>449</v>
      </c>
      <c r="M325" s="16" t="s">
        <v>24</v>
      </c>
      <c r="N325" s="16">
        <v>0</v>
      </c>
      <c r="O325" s="16">
        <v>0</v>
      </c>
      <c r="P325" s="16">
        <v>0</v>
      </c>
      <c r="Q325" s="16">
        <f t="shared" si="25"/>
        <v>0</v>
      </c>
      <c r="R325" s="16">
        <f t="shared" si="26"/>
        <v>0</v>
      </c>
      <c r="S325" s="16">
        <f t="shared" si="27"/>
        <v>0</v>
      </c>
      <c r="T325" s="30">
        <f t="shared" si="28"/>
        <v>0</v>
      </c>
      <c r="U325" s="30">
        <f t="shared" si="29"/>
        <v>0</v>
      </c>
    </row>
    <row r="326" spans="1:21" s="16" customFormat="1" ht="20" customHeight="1" x14ac:dyDescent="0.35">
      <c r="A326" s="16" t="s">
        <v>456</v>
      </c>
      <c r="B326" s="28">
        <v>46119</v>
      </c>
      <c r="C326" s="16" t="s">
        <v>17</v>
      </c>
      <c r="D326" s="16" t="s">
        <v>442</v>
      </c>
      <c r="E326" s="29">
        <v>46113</v>
      </c>
      <c r="F326" s="16" t="s">
        <v>26</v>
      </c>
      <c r="G326" s="16" t="s">
        <v>27</v>
      </c>
      <c r="H326" s="16">
        <v>6000</v>
      </c>
      <c r="I326" s="16" t="s">
        <v>28</v>
      </c>
      <c r="J326" s="16" t="s">
        <v>29</v>
      </c>
      <c r="K326" s="16" t="s">
        <v>522</v>
      </c>
      <c r="L326" s="16" t="s">
        <v>451</v>
      </c>
      <c r="M326" s="16" t="s">
        <v>24</v>
      </c>
      <c r="N326" s="16">
        <v>6000</v>
      </c>
      <c r="O326" s="16">
        <v>0</v>
      </c>
      <c r="P326" s="16">
        <v>0</v>
      </c>
      <c r="Q326" s="16">
        <f t="shared" si="25"/>
        <v>0</v>
      </c>
      <c r="R326" s="16">
        <f t="shared" si="26"/>
        <v>0</v>
      </c>
      <c r="S326" s="16">
        <f t="shared" si="27"/>
        <v>0</v>
      </c>
      <c r="T326" s="30">
        <f t="shared" si="28"/>
        <v>0</v>
      </c>
      <c r="U326" s="30">
        <f t="shared" si="29"/>
        <v>0</v>
      </c>
    </row>
    <row r="327" spans="1:21" s="16" customFormat="1" ht="20" customHeight="1" x14ac:dyDescent="0.35">
      <c r="A327" s="16" t="s">
        <v>458</v>
      </c>
      <c r="B327" s="28">
        <v>46120</v>
      </c>
      <c r="C327" s="16" t="s">
        <v>32</v>
      </c>
      <c r="D327" s="16" t="s">
        <v>442</v>
      </c>
      <c r="E327" s="29">
        <v>46113</v>
      </c>
      <c r="F327" s="16" t="s">
        <v>65</v>
      </c>
      <c r="G327" s="16" t="s">
        <v>102</v>
      </c>
      <c r="H327" s="16">
        <v>1.5</v>
      </c>
      <c r="I327" s="16" t="s">
        <v>84</v>
      </c>
      <c r="J327" s="16" t="s">
        <v>99</v>
      </c>
      <c r="K327" s="16" t="s">
        <v>522</v>
      </c>
      <c r="L327" s="16" t="s">
        <v>453</v>
      </c>
      <c r="M327" s="16" t="s">
        <v>24</v>
      </c>
      <c r="N327" s="16">
        <v>0</v>
      </c>
      <c r="O327" s="16">
        <v>0</v>
      </c>
      <c r="P327" s="16">
        <v>0</v>
      </c>
      <c r="Q327" s="16">
        <f t="shared" si="25"/>
        <v>0</v>
      </c>
      <c r="R327" s="16">
        <f t="shared" si="26"/>
        <v>0</v>
      </c>
      <c r="S327" s="16">
        <f t="shared" si="27"/>
        <v>0</v>
      </c>
      <c r="T327" s="30">
        <f t="shared" si="28"/>
        <v>0</v>
      </c>
      <c r="U327" s="30">
        <f t="shared" si="29"/>
        <v>0</v>
      </c>
    </row>
    <row r="328" spans="1:21" s="16" customFormat="1" ht="20" customHeight="1" x14ac:dyDescent="0.35">
      <c r="A328" s="16" t="s">
        <v>462</v>
      </c>
      <c r="B328" s="28">
        <v>46120</v>
      </c>
      <c r="C328" s="16" t="s">
        <v>32</v>
      </c>
      <c r="D328" s="16" t="s">
        <v>442</v>
      </c>
      <c r="E328" s="29">
        <v>46113</v>
      </c>
      <c r="F328" s="16" t="s">
        <v>65</v>
      </c>
      <c r="G328" s="16" t="s">
        <v>105</v>
      </c>
      <c r="H328" s="16">
        <v>0</v>
      </c>
      <c r="I328" s="16" t="s">
        <v>106</v>
      </c>
      <c r="J328" s="16" t="s">
        <v>99</v>
      </c>
      <c r="K328" s="16" t="s">
        <v>522</v>
      </c>
      <c r="L328" s="16" t="s">
        <v>455</v>
      </c>
      <c r="M328" s="16" t="s">
        <v>24</v>
      </c>
      <c r="N328" s="16">
        <v>0</v>
      </c>
      <c r="O328" s="16">
        <v>0</v>
      </c>
      <c r="P328" s="16">
        <v>0</v>
      </c>
      <c r="Q328" s="16">
        <f t="shared" si="25"/>
        <v>0</v>
      </c>
      <c r="R328" s="16">
        <f t="shared" si="26"/>
        <v>0</v>
      </c>
      <c r="S328" s="16">
        <f t="shared" si="27"/>
        <v>0</v>
      </c>
      <c r="T328" s="30">
        <f t="shared" si="28"/>
        <v>0</v>
      </c>
      <c r="U328" s="30">
        <f t="shared" si="29"/>
        <v>0</v>
      </c>
    </row>
    <row r="329" spans="1:21" s="16" customFormat="1" ht="20" customHeight="1" x14ac:dyDescent="0.35">
      <c r="A329" s="16" t="s">
        <v>465</v>
      </c>
      <c r="B329" s="28">
        <v>46120</v>
      </c>
      <c r="C329" s="16" t="s">
        <v>32</v>
      </c>
      <c r="D329" s="16" t="s">
        <v>442</v>
      </c>
      <c r="E329" s="29">
        <v>46113</v>
      </c>
      <c r="F329" s="16" t="s">
        <v>26</v>
      </c>
      <c r="G329" s="16" t="s">
        <v>27</v>
      </c>
      <c r="H329" s="16">
        <v>4000</v>
      </c>
      <c r="I329" s="16" t="s">
        <v>28</v>
      </c>
      <c r="J329" s="16" t="s">
        <v>29</v>
      </c>
      <c r="K329" s="16" t="s">
        <v>522</v>
      </c>
      <c r="L329" s="16" t="s">
        <v>457</v>
      </c>
      <c r="M329" s="16" t="s">
        <v>24</v>
      </c>
      <c r="N329" s="16">
        <v>4000</v>
      </c>
      <c r="O329" s="16">
        <v>0</v>
      </c>
      <c r="P329" s="16">
        <v>0</v>
      </c>
      <c r="Q329" s="16">
        <f t="shared" si="25"/>
        <v>0</v>
      </c>
      <c r="R329" s="16">
        <f t="shared" si="26"/>
        <v>0</v>
      </c>
      <c r="S329" s="16">
        <f t="shared" si="27"/>
        <v>0</v>
      </c>
      <c r="T329" s="30">
        <f t="shared" si="28"/>
        <v>0</v>
      </c>
      <c r="U329" s="30">
        <f t="shared" si="29"/>
        <v>0</v>
      </c>
    </row>
    <row r="330" spans="1:21" s="16" customFormat="1" ht="20" customHeight="1" x14ac:dyDescent="0.35">
      <c r="A330" s="16" t="s">
        <v>466</v>
      </c>
      <c r="B330" s="28">
        <v>46124</v>
      </c>
      <c r="C330" s="16" t="s">
        <v>45</v>
      </c>
      <c r="D330" s="16" t="s">
        <v>442</v>
      </c>
      <c r="E330" s="29">
        <v>46113</v>
      </c>
      <c r="F330" s="16" t="s">
        <v>65</v>
      </c>
      <c r="G330" s="16" t="s">
        <v>459</v>
      </c>
      <c r="H330" s="16">
        <v>38</v>
      </c>
      <c r="I330" s="16" t="s">
        <v>106</v>
      </c>
      <c r="J330" s="16" t="s">
        <v>85</v>
      </c>
      <c r="K330" s="16" t="s">
        <v>460</v>
      </c>
      <c r="L330" s="16" t="s">
        <v>461</v>
      </c>
      <c r="M330" s="16" t="s">
        <v>24</v>
      </c>
      <c r="N330" s="16">
        <v>0</v>
      </c>
      <c r="O330" s="16">
        <v>0</v>
      </c>
      <c r="P330" s="16">
        <v>0</v>
      </c>
      <c r="Q330" s="16">
        <f t="shared" si="25"/>
        <v>0</v>
      </c>
      <c r="R330" s="16">
        <f t="shared" si="26"/>
        <v>0</v>
      </c>
      <c r="S330" s="16">
        <f t="shared" si="27"/>
        <v>0</v>
      </c>
      <c r="T330" s="30">
        <f t="shared" si="28"/>
        <v>0</v>
      </c>
      <c r="U330" s="30">
        <f t="shared" si="29"/>
        <v>0</v>
      </c>
    </row>
    <row r="331" spans="1:21" s="16" customFormat="1" ht="20" customHeight="1" x14ac:dyDescent="0.35">
      <c r="A331" s="16" t="s">
        <v>468</v>
      </c>
      <c r="B331" s="28">
        <v>46129</v>
      </c>
      <c r="C331" s="16" t="s">
        <v>39</v>
      </c>
      <c r="D331" s="16" t="s">
        <v>463</v>
      </c>
      <c r="E331" s="29">
        <v>46113</v>
      </c>
      <c r="F331" s="16" t="s">
        <v>65</v>
      </c>
      <c r="G331" s="16" t="s">
        <v>459</v>
      </c>
      <c r="H331" s="16">
        <v>23</v>
      </c>
      <c r="I331" s="16" t="s">
        <v>106</v>
      </c>
      <c r="J331" s="16" t="s">
        <v>85</v>
      </c>
      <c r="K331" s="16" t="s">
        <v>460</v>
      </c>
      <c r="L331" s="16" t="s">
        <v>464</v>
      </c>
      <c r="M331" s="16" t="s">
        <v>24</v>
      </c>
      <c r="N331" s="16">
        <v>0</v>
      </c>
      <c r="O331" s="16">
        <v>0</v>
      </c>
      <c r="P331" s="16">
        <v>0</v>
      </c>
      <c r="Q331" s="16">
        <f t="shared" si="25"/>
        <v>0</v>
      </c>
      <c r="R331" s="16">
        <f t="shared" si="26"/>
        <v>0</v>
      </c>
      <c r="S331" s="16">
        <f t="shared" si="27"/>
        <v>0</v>
      </c>
      <c r="T331" s="30">
        <f t="shared" si="28"/>
        <v>0</v>
      </c>
      <c r="U331" s="30">
        <f t="shared" si="29"/>
        <v>0</v>
      </c>
    </row>
    <row r="332" spans="1:21" s="16" customFormat="1" ht="20" customHeight="1" x14ac:dyDescent="0.35">
      <c r="A332" s="16" t="s">
        <v>471</v>
      </c>
      <c r="B332" s="28">
        <v>46129</v>
      </c>
      <c r="C332" s="16" t="s">
        <v>39</v>
      </c>
      <c r="D332" s="16" t="s">
        <v>463</v>
      </c>
      <c r="E332" s="29">
        <v>46113</v>
      </c>
      <c r="F332" s="16" t="s">
        <v>26</v>
      </c>
      <c r="G332" s="16" t="s">
        <v>27</v>
      </c>
      <c r="H332" s="16">
        <v>16000</v>
      </c>
      <c r="I332" s="16" t="s">
        <v>28</v>
      </c>
      <c r="J332" s="16" t="s">
        <v>29</v>
      </c>
      <c r="K332" s="16" t="s">
        <v>460</v>
      </c>
      <c r="L332" s="16" t="s">
        <v>110</v>
      </c>
      <c r="M332" s="16" t="s">
        <v>24</v>
      </c>
      <c r="N332" s="16">
        <v>16000</v>
      </c>
      <c r="O332" s="16">
        <v>0</v>
      </c>
      <c r="P332" s="16">
        <v>0</v>
      </c>
      <c r="Q332" s="16">
        <f t="shared" si="25"/>
        <v>0</v>
      </c>
      <c r="R332" s="16">
        <f t="shared" si="26"/>
        <v>0</v>
      </c>
      <c r="S332" s="16">
        <f t="shared" si="27"/>
        <v>0</v>
      </c>
      <c r="T332" s="30">
        <f t="shared" si="28"/>
        <v>0</v>
      </c>
      <c r="U332" s="30">
        <f t="shared" si="29"/>
        <v>0</v>
      </c>
    </row>
    <row r="333" spans="1:21" s="16" customFormat="1" ht="20" customHeight="1" x14ac:dyDescent="0.35">
      <c r="A333" s="16" t="s">
        <v>473</v>
      </c>
      <c r="B333" s="28">
        <v>46130</v>
      </c>
      <c r="C333" s="16" t="s">
        <v>42</v>
      </c>
      <c r="D333" s="16" t="s">
        <v>463</v>
      </c>
      <c r="E333" s="29">
        <v>46113</v>
      </c>
      <c r="F333" s="16" t="s">
        <v>65</v>
      </c>
      <c r="G333" s="16" t="s">
        <v>459</v>
      </c>
      <c r="H333" s="16">
        <v>2</v>
      </c>
      <c r="I333" s="16" t="s">
        <v>106</v>
      </c>
      <c r="J333" s="16" t="s">
        <v>85</v>
      </c>
      <c r="K333" s="16" t="s">
        <v>460</v>
      </c>
      <c r="L333" s="16" t="s">
        <v>467</v>
      </c>
      <c r="M333" s="16" t="s">
        <v>24</v>
      </c>
      <c r="N333" s="16">
        <v>0</v>
      </c>
      <c r="O333" s="16">
        <v>0</v>
      </c>
      <c r="P333" s="16">
        <v>0</v>
      </c>
      <c r="Q333" s="16">
        <f t="shared" si="25"/>
        <v>0</v>
      </c>
      <c r="R333" s="16">
        <f t="shared" si="26"/>
        <v>0</v>
      </c>
      <c r="S333" s="16">
        <f t="shared" si="27"/>
        <v>0</v>
      </c>
      <c r="T333" s="30">
        <f t="shared" si="28"/>
        <v>0</v>
      </c>
      <c r="U333" s="30">
        <f t="shared" si="29"/>
        <v>0</v>
      </c>
    </row>
    <row r="334" spans="1:21" s="16" customFormat="1" ht="20" customHeight="1" x14ac:dyDescent="0.35">
      <c r="A334" s="16" t="s">
        <v>475</v>
      </c>
      <c r="B334" s="28">
        <v>46130</v>
      </c>
      <c r="C334" s="16" t="s">
        <v>42</v>
      </c>
      <c r="D334" s="16" t="s">
        <v>463</v>
      </c>
      <c r="E334" s="29">
        <v>46113</v>
      </c>
      <c r="F334" s="16" t="s">
        <v>65</v>
      </c>
      <c r="G334" s="16" t="s">
        <v>469</v>
      </c>
      <c r="H334" s="16">
        <v>4</v>
      </c>
      <c r="I334" s="16" t="s">
        <v>106</v>
      </c>
      <c r="J334" s="16" t="s">
        <v>85</v>
      </c>
      <c r="K334" s="16" t="s">
        <v>522</v>
      </c>
      <c r="L334" s="16" t="s">
        <v>470</v>
      </c>
      <c r="M334" s="16" t="s">
        <v>24</v>
      </c>
      <c r="N334" s="16">
        <v>0</v>
      </c>
      <c r="O334" s="16">
        <v>0</v>
      </c>
      <c r="P334" s="16">
        <v>0</v>
      </c>
      <c r="Q334" s="16">
        <f t="shared" si="25"/>
        <v>0</v>
      </c>
      <c r="R334" s="16">
        <f t="shared" si="26"/>
        <v>0</v>
      </c>
      <c r="S334" s="16">
        <f t="shared" si="27"/>
        <v>0</v>
      </c>
      <c r="T334" s="30">
        <f t="shared" si="28"/>
        <v>0</v>
      </c>
      <c r="U334" s="30">
        <f t="shared" si="29"/>
        <v>0</v>
      </c>
    </row>
    <row r="335" spans="1:21" s="16" customFormat="1" ht="20" customHeight="1" x14ac:dyDescent="0.35">
      <c r="A335" s="16" t="s">
        <v>477</v>
      </c>
      <c r="B335" s="28">
        <v>46130</v>
      </c>
      <c r="C335" s="16" t="s">
        <v>42</v>
      </c>
      <c r="D335" s="16" t="s">
        <v>463</v>
      </c>
      <c r="E335" s="29">
        <v>46113</v>
      </c>
      <c r="F335" s="16" t="s">
        <v>65</v>
      </c>
      <c r="G335" s="16" t="s">
        <v>164</v>
      </c>
      <c r="H335" s="16">
        <v>1</v>
      </c>
      <c r="I335" s="16" t="s">
        <v>154</v>
      </c>
      <c r="J335" s="16" t="s">
        <v>99</v>
      </c>
      <c r="K335" s="16" t="s">
        <v>460</v>
      </c>
      <c r="L335" s="16" t="s">
        <v>472</v>
      </c>
      <c r="M335" s="16" t="s">
        <v>24</v>
      </c>
      <c r="N335" s="16">
        <v>0</v>
      </c>
      <c r="O335" s="16">
        <v>0</v>
      </c>
      <c r="P335" s="16">
        <v>0</v>
      </c>
      <c r="Q335" s="16">
        <f t="shared" si="25"/>
        <v>0</v>
      </c>
      <c r="R335" s="16">
        <f t="shared" si="26"/>
        <v>0</v>
      </c>
      <c r="S335" s="16">
        <f t="shared" si="27"/>
        <v>0</v>
      </c>
      <c r="T335" s="30">
        <f t="shared" si="28"/>
        <v>0</v>
      </c>
      <c r="U335" s="30">
        <f t="shared" si="29"/>
        <v>0</v>
      </c>
    </row>
    <row r="336" spans="1:21" s="16" customFormat="1" ht="20" customHeight="1" x14ac:dyDescent="0.35">
      <c r="A336" s="16" t="s">
        <v>479</v>
      </c>
      <c r="B336" s="28">
        <v>46131</v>
      </c>
      <c r="C336" s="16" t="s">
        <v>45</v>
      </c>
      <c r="D336" s="16" t="s">
        <v>463</v>
      </c>
      <c r="E336" s="29">
        <v>46113</v>
      </c>
      <c r="F336" s="16" t="s">
        <v>65</v>
      </c>
      <c r="G336" s="16" t="s">
        <v>459</v>
      </c>
      <c r="H336" s="16">
        <v>4</v>
      </c>
      <c r="I336" s="16" t="s">
        <v>106</v>
      </c>
      <c r="J336" s="16" t="s">
        <v>85</v>
      </c>
      <c r="K336" s="16" t="s">
        <v>460</v>
      </c>
      <c r="L336" s="16" t="s">
        <v>474</v>
      </c>
      <c r="M336" s="16" t="s">
        <v>24</v>
      </c>
      <c r="N336" s="16">
        <v>0</v>
      </c>
      <c r="O336" s="16">
        <v>0</v>
      </c>
      <c r="P336" s="16">
        <v>0</v>
      </c>
      <c r="Q336" s="16">
        <f t="shared" si="25"/>
        <v>0</v>
      </c>
      <c r="R336" s="16">
        <f t="shared" si="26"/>
        <v>0</v>
      </c>
      <c r="S336" s="16">
        <f t="shared" si="27"/>
        <v>0</v>
      </c>
      <c r="T336" s="30">
        <f t="shared" si="28"/>
        <v>0</v>
      </c>
      <c r="U336" s="30">
        <f t="shared" si="29"/>
        <v>0</v>
      </c>
    </row>
    <row r="337" spans="1:21" s="16" customFormat="1" ht="20" customHeight="1" x14ac:dyDescent="0.35">
      <c r="A337" s="16" t="s">
        <v>511</v>
      </c>
      <c r="B337" s="28">
        <v>46131</v>
      </c>
      <c r="C337" s="16" t="s">
        <v>45</v>
      </c>
      <c r="D337" s="16" t="s">
        <v>463</v>
      </c>
      <c r="E337" s="29">
        <v>46113</v>
      </c>
      <c r="F337" s="16" t="s">
        <v>26</v>
      </c>
      <c r="G337" s="16" t="s">
        <v>27</v>
      </c>
      <c r="H337" s="16">
        <v>12000</v>
      </c>
      <c r="I337" s="16" t="s">
        <v>28</v>
      </c>
      <c r="J337" s="16" t="s">
        <v>29</v>
      </c>
      <c r="K337" s="16" t="s">
        <v>460</v>
      </c>
      <c r="L337" s="16" t="s">
        <v>476</v>
      </c>
      <c r="M337" s="16" t="s">
        <v>24</v>
      </c>
      <c r="N337" s="16">
        <v>12000</v>
      </c>
      <c r="O337" s="16">
        <v>0</v>
      </c>
      <c r="P337" s="16">
        <v>0</v>
      </c>
      <c r="Q337" s="16">
        <f t="shared" si="25"/>
        <v>0</v>
      </c>
      <c r="R337" s="16">
        <f t="shared" si="26"/>
        <v>0</v>
      </c>
      <c r="S337" s="16">
        <f t="shared" si="27"/>
        <v>0</v>
      </c>
      <c r="T337" s="30">
        <f t="shared" si="28"/>
        <v>0</v>
      </c>
      <c r="U337" s="30">
        <f t="shared" si="29"/>
        <v>0</v>
      </c>
    </row>
    <row r="338" spans="1:21" s="16" customFormat="1" ht="20" customHeight="1" x14ac:dyDescent="0.35">
      <c r="A338" s="16" t="s">
        <v>512</v>
      </c>
      <c r="B338" s="28">
        <v>46132</v>
      </c>
      <c r="C338" s="16" t="s">
        <v>50</v>
      </c>
      <c r="D338" s="16" t="s">
        <v>478</v>
      </c>
      <c r="E338" s="29">
        <v>46113</v>
      </c>
      <c r="F338" s="16" t="s">
        <v>65</v>
      </c>
      <c r="G338" s="16" t="s">
        <v>469</v>
      </c>
      <c r="H338" s="16">
        <v>4</v>
      </c>
      <c r="I338" s="16" t="s">
        <v>106</v>
      </c>
      <c r="J338" s="16" t="s">
        <v>85</v>
      </c>
      <c r="K338" s="16" t="s">
        <v>522</v>
      </c>
      <c r="L338" s="16" t="s">
        <v>470</v>
      </c>
      <c r="M338" s="16" t="s">
        <v>24</v>
      </c>
      <c r="N338" s="16">
        <v>0</v>
      </c>
      <c r="O338" s="16">
        <v>0</v>
      </c>
      <c r="P338" s="16">
        <v>0</v>
      </c>
      <c r="Q338" s="16">
        <f t="shared" si="25"/>
        <v>0</v>
      </c>
      <c r="R338" s="16">
        <f t="shared" si="26"/>
        <v>0</v>
      </c>
      <c r="S338" s="16">
        <f t="shared" si="27"/>
        <v>0</v>
      </c>
      <c r="T338" s="30">
        <f t="shared" si="28"/>
        <v>0</v>
      </c>
      <c r="U338" s="30">
        <f t="shared" si="29"/>
        <v>0</v>
      </c>
    </row>
    <row r="339" spans="1:21" s="16" customFormat="1" ht="20" customHeight="1" x14ac:dyDescent="0.35">
      <c r="A339" s="16" t="s">
        <v>480</v>
      </c>
      <c r="B339" s="28">
        <v>46132</v>
      </c>
      <c r="C339" s="16" t="s">
        <v>50</v>
      </c>
      <c r="D339" s="16" t="s">
        <v>478</v>
      </c>
      <c r="E339" s="29">
        <v>46113</v>
      </c>
      <c r="F339" s="16" t="s">
        <v>26</v>
      </c>
      <c r="G339" s="16" t="s">
        <v>27</v>
      </c>
      <c r="H339" s="16">
        <v>12000</v>
      </c>
      <c r="I339" s="16" t="s">
        <v>28</v>
      </c>
      <c r="J339" s="16" t="s">
        <v>29</v>
      </c>
      <c r="K339" s="16" t="s">
        <v>460</v>
      </c>
      <c r="L339" s="16" t="s">
        <v>476</v>
      </c>
      <c r="M339" s="16" t="s">
        <v>24</v>
      </c>
      <c r="N339" s="16">
        <v>12000</v>
      </c>
      <c r="O339" s="16">
        <v>0</v>
      </c>
      <c r="P339" s="16">
        <v>0</v>
      </c>
      <c r="Q339" s="16">
        <f t="shared" si="25"/>
        <v>0</v>
      </c>
      <c r="R339" s="16">
        <f t="shared" si="26"/>
        <v>0</v>
      </c>
      <c r="S339" s="16">
        <f t="shared" si="27"/>
        <v>0</v>
      </c>
      <c r="T339" s="30">
        <f t="shared" si="28"/>
        <v>0</v>
      </c>
      <c r="U339" s="30">
        <f t="shared" si="29"/>
        <v>0</v>
      </c>
    </row>
    <row r="340" spans="1:21" s="16" customFormat="1" ht="20" customHeight="1" x14ac:dyDescent="0.35">
      <c r="A340" s="16" t="s">
        <v>482</v>
      </c>
      <c r="B340" s="28">
        <v>46135</v>
      </c>
      <c r="C340" s="16" t="s">
        <v>36</v>
      </c>
      <c r="D340" s="16" t="s">
        <v>478</v>
      </c>
      <c r="E340" s="29">
        <v>46113</v>
      </c>
      <c r="F340" s="16" t="s">
        <v>65</v>
      </c>
      <c r="G340" s="16" t="s">
        <v>469</v>
      </c>
      <c r="H340" s="16">
        <v>1</v>
      </c>
      <c r="I340" s="16" t="s">
        <v>154</v>
      </c>
      <c r="J340" s="16" t="s">
        <v>85</v>
      </c>
      <c r="K340" s="16" t="s">
        <v>522</v>
      </c>
      <c r="L340" s="16" t="s">
        <v>481</v>
      </c>
      <c r="M340" s="16" t="s">
        <v>24</v>
      </c>
      <c r="N340" s="16">
        <v>0</v>
      </c>
      <c r="O340" s="16">
        <v>0</v>
      </c>
      <c r="P340" s="16">
        <v>0</v>
      </c>
      <c r="Q340" s="16">
        <f t="shared" si="25"/>
        <v>0</v>
      </c>
      <c r="R340" s="16">
        <f t="shared" si="26"/>
        <v>0</v>
      </c>
      <c r="S340" s="16">
        <f t="shared" si="27"/>
        <v>0</v>
      </c>
      <c r="T340" s="30">
        <f t="shared" si="28"/>
        <v>0</v>
      </c>
      <c r="U340" s="30">
        <f t="shared" si="29"/>
        <v>0</v>
      </c>
    </row>
    <row r="341" spans="1:21" s="16" customFormat="1" ht="20" customHeight="1" x14ac:dyDescent="0.35">
      <c r="A341" s="16" t="s">
        <v>484</v>
      </c>
      <c r="B341" s="28">
        <v>46140</v>
      </c>
      <c r="C341" s="16" t="s">
        <v>17</v>
      </c>
      <c r="D341" s="16" t="s">
        <v>483</v>
      </c>
      <c r="E341" s="29">
        <v>46113</v>
      </c>
      <c r="F341" s="16" t="s">
        <v>65</v>
      </c>
      <c r="G341" s="16" t="s">
        <v>153</v>
      </c>
      <c r="H341" s="16">
        <v>1</v>
      </c>
      <c r="I341" s="16" t="s">
        <v>154</v>
      </c>
      <c r="J341" s="16" t="s">
        <v>99</v>
      </c>
      <c r="K341" s="16" t="s">
        <v>522</v>
      </c>
      <c r="L341" s="16" t="s">
        <v>248</v>
      </c>
      <c r="M341" s="16" t="s">
        <v>24</v>
      </c>
      <c r="N341" s="16">
        <v>0</v>
      </c>
      <c r="O341" s="16">
        <v>0</v>
      </c>
      <c r="P341" s="16">
        <v>0</v>
      </c>
      <c r="Q341" s="16">
        <f t="shared" si="25"/>
        <v>0</v>
      </c>
      <c r="R341" s="16">
        <f t="shared" si="26"/>
        <v>0</v>
      </c>
      <c r="S341" s="16">
        <f t="shared" si="27"/>
        <v>0</v>
      </c>
      <c r="T341" s="30">
        <f t="shared" si="28"/>
        <v>0</v>
      </c>
      <c r="U341" s="30">
        <f t="shared" si="29"/>
        <v>0</v>
      </c>
    </row>
    <row r="342" spans="1:21" s="16" customFormat="1" ht="20" customHeight="1" x14ac:dyDescent="0.35">
      <c r="A342" s="16" t="s">
        <v>489</v>
      </c>
      <c r="B342" s="28">
        <v>46140</v>
      </c>
      <c r="C342" s="16" t="s">
        <v>17</v>
      </c>
      <c r="D342" s="16" t="s">
        <v>483</v>
      </c>
      <c r="E342" s="29">
        <v>46113</v>
      </c>
      <c r="F342" s="16" t="s">
        <v>82</v>
      </c>
      <c r="G342" s="16" t="s">
        <v>485</v>
      </c>
      <c r="H342" s="16">
        <v>1</v>
      </c>
      <c r="I342" s="16" t="s">
        <v>84</v>
      </c>
      <c r="J342" s="16" t="s">
        <v>486</v>
      </c>
      <c r="K342" s="16" t="s">
        <v>86</v>
      </c>
      <c r="L342" s="16" t="s">
        <v>487</v>
      </c>
      <c r="M342" s="16" t="s">
        <v>488</v>
      </c>
      <c r="N342" s="16">
        <v>0</v>
      </c>
      <c r="O342" s="16">
        <v>0</v>
      </c>
      <c r="P342" s="16">
        <v>0</v>
      </c>
      <c r="Q342" s="16">
        <f t="shared" si="25"/>
        <v>0</v>
      </c>
      <c r="R342" s="16">
        <f t="shared" si="26"/>
        <v>0</v>
      </c>
      <c r="S342" s="16">
        <f t="shared" si="27"/>
        <v>0</v>
      </c>
      <c r="T342" s="30">
        <f t="shared" si="28"/>
        <v>0</v>
      </c>
      <c r="U342" s="30">
        <f t="shared" si="29"/>
        <v>0</v>
      </c>
    </row>
    <row r="343" spans="1:21" s="16" customFormat="1" ht="20" customHeight="1" x14ac:dyDescent="0.35">
      <c r="A343" s="16" t="s">
        <v>493</v>
      </c>
      <c r="B343" s="28">
        <v>46140</v>
      </c>
      <c r="C343" s="16" t="s">
        <v>17</v>
      </c>
      <c r="D343" s="16" t="s">
        <v>483</v>
      </c>
      <c r="E343" s="29">
        <v>46113</v>
      </c>
      <c r="F343" s="16" t="s">
        <v>82</v>
      </c>
      <c r="G343" s="16" t="s">
        <v>490</v>
      </c>
      <c r="H343" s="16">
        <v>4</v>
      </c>
      <c r="I343" s="16" t="s">
        <v>84</v>
      </c>
      <c r="J343" s="16" t="s">
        <v>491</v>
      </c>
      <c r="K343" s="16" t="s">
        <v>86</v>
      </c>
      <c r="L343" s="16" t="s">
        <v>492</v>
      </c>
      <c r="M343" s="16" t="s">
        <v>24</v>
      </c>
      <c r="N343" s="16">
        <v>0</v>
      </c>
      <c r="O343" s="16">
        <v>0</v>
      </c>
      <c r="P343" s="16">
        <v>0</v>
      </c>
      <c r="Q343" s="16">
        <f t="shared" si="25"/>
        <v>0</v>
      </c>
      <c r="R343" s="16">
        <f t="shared" si="26"/>
        <v>0</v>
      </c>
      <c r="S343" s="16">
        <f t="shared" si="27"/>
        <v>0</v>
      </c>
      <c r="T343" s="30">
        <f t="shared" si="28"/>
        <v>0</v>
      </c>
      <c r="U343" s="30">
        <f t="shared" si="29"/>
        <v>0</v>
      </c>
    </row>
    <row r="344" spans="1:21" s="16" customFormat="1" ht="20" customHeight="1" x14ac:dyDescent="0.35">
      <c r="A344" s="16" t="s">
        <v>497</v>
      </c>
      <c r="B344" s="28">
        <v>46140</v>
      </c>
      <c r="C344" s="16" t="s">
        <v>17</v>
      </c>
      <c r="D344" s="16" t="s">
        <v>483</v>
      </c>
      <c r="E344" s="29">
        <v>46113</v>
      </c>
      <c r="F344" s="16" t="s">
        <v>82</v>
      </c>
      <c r="G344" s="16" t="s">
        <v>494</v>
      </c>
      <c r="H344" s="16">
        <v>92</v>
      </c>
      <c r="I344" s="16" t="s">
        <v>495</v>
      </c>
      <c r="J344" s="16" t="s">
        <v>491</v>
      </c>
      <c r="K344" s="16" t="s">
        <v>86</v>
      </c>
      <c r="L344" s="16" t="s">
        <v>496</v>
      </c>
      <c r="M344" s="16" t="s">
        <v>24</v>
      </c>
      <c r="N344" s="16">
        <v>0</v>
      </c>
      <c r="O344" s="16">
        <v>0</v>
      </c>
      <c r="P344" s="16">
        <v>0</v>
      </c>
      <c r="Q344" s="16">
        <f t="shared" si="25"/>
        <v>0</v>
      </c>
      <c r="R344" s="16">
        <f t="shared" si="26"/>
        <v>0</v>
      </c>
      <c r="S344" s="16">
        <f t="shared" si="27"/>
        <v>0</v>
      </c>
      <c r="T344" s="30">
        <f t="shared" si="28"/>
        <v>0</v>
      </c>
      <c r="U344" s="30">
        <f t="shared" si="29"/>
        <v>0</v>
      </c>
    </row>
    <row r="345" spans="1:21" s="16" customFormat="1" ht="20" customHeight="1" x14ac:dyDescent="0.35">
      <c r="A345" s="16" t="s">
        <v>499</v>
      </c>
      <c r="B345" s="28">
        <v>46140</v>
      </c>
      <c r="C345" s="16" t="s">
        <v>17</v>
      </c>
      <c r="D345" s="16" t="s">
        <v>483</v>
      </c>
      <c r="E345" s="29">
        <v>46113</v>
      </c>
      <c r="F345" s="16" t="s">
        <v>82</v>
      </c>
      <c r="G345" s="16" t="s">
        <v>498</v>
      </c>
      <c r="H345" s="16">
        <v>25</v>
      </c>
      <c r="I345" s="16" t="s">
        <v>495</v>
      </c>
      <c r="J345" s="16" t="s">
        <v>491</v>
      </c>
      <c r="K345" s="16" t="s">
        <v>86</v>
      </c>
      <c r="L345" s="16" t="s">
        <v>496</v>
      </c>
      <c r="M345" s="16" t="s">
        <v>24</v>
      </c>
      <c r="N345" s="16">
        <v>0</v>
      </c>
      <c r="O345" s="16">
        <v>0</v>
      </c>
      <c r="P345" s="16">
        <v>0</v>
      </c>
      <c r="Q345" s="16">
        <f t="shared" si="25"/>
        <v>0</v>
      </c>
      <c r="R345" s="16">
        <f t="shared" si="26"/>
        <v>0</v>
      </c>
      <c r="S345" s="16">
        <f t="shared" si="27"/>
        <v>0</v>
      </c>
      <c r="T345" s="30">
        <f t="shared" si="28"/>
        <v>0</v>
      </c>
      <c r="U345" s="30">
        <f t="shared" si="29"/>
        <v>0</v>
      </c>
    </row>
    <row r="346" spans="1:21" s="16" customFormat="1" ht="20" customHeight="1" x14ac:dyDescent="0.35">
      <c r="A346" s="16" t="s">
        <v>501</v>
      </c>
      <c r="B346" s="28">
        <v>46140</v>
      </c>
      <c r="C346" s="16" t="s">
        <v>17</v>
      </c>
      <c r="D346" s="16" t="s">
        <v>483</v>
      </c>
      <c r="E346" s="29">
        <v>46113</v>
      </c>
      <c r="F346" s="16" t="s">
        <v>82</v>
      </c>
      <c r="G346" s="16" t="s">
        <v>500</v>
      </c>
      <c r="H346" s="16">
        <v>2</v>
      </c>
      <c r="I346" s="16" t="s">
        <v>495</v>
      </c>
      <c r="J346" s="16" t="s">
        <v>491</v>
      </c>
      <c r="K346" s="16" t="s">
        <v>86</v>
      </c>
      <c r="L346" s="16" t="s">
        <v>496</v>
      </c>
      <c r="M346" s="16" t="s">
        <v>24</v>
      </c>
      <c r="N346" s="16">
        <v>0</v>
      </c>
      <c r="O346" s="16">
        <v>0</v>
      </c>
      <c r="P346" s="16">
        <v>0</v>
      </c>
      <c r="Q346" s="16">
        <f t="shared" si="25"/>
        <v>0</v>
      </c>
      <c r="R346" s="16">
        <f t="shared" si="26"/>
        <v>0</v>
      </c>
      <c r="S346" s="16">
        <f t="shared" si="27"/>
        <v>0</v>
      </c>
      <c r="T346" s="30">
        <f t="shared" si="28"/>
        <v>0</v>
      </c>
      <c r="U346" s="30">
        <f t="shared" si="29"/>
        <v>0</v>
      </c>
    </row>
    <row r="347" spans="1:21" s="16" customFormat="1" ht="20" customHeight="1" x14ac:dyDescent="0.35">
      <c r="A347" s="16" t="s">
        <v>503</v>
      </c>
      <c r="B347" s="28">
        <v>46140</v>
      </c>
      <c r="C347" s="16" t="s">
        <v>17</v>
      </c>
      <c r="D347" s="16" t="s">
        <v>483</v>
      </c>
      <c r="E347" s="29">
        <v>46113</v>
      </c>
      <c r="F347" s="16" t="s">
        <v>65</v>
      </c>
      <c r="G347" s="16" t="s">
        <v>102</v>
      </c>
      <c r="H347" s="16">
        <v>10.5</v>
      </c>
      <c r="I347" s="16" t="s">
        <v>84</v>
      </c>
      <c r="J347" s="16" t="s">
        <v>99</v>
      </c>
      <c r="K347" s="16" t="s">
        <v>522</v>
      </c>
      <c r="L347" s="16" t="s">
        <v>502</v>
      </c>
      <c r="M347" s="16" t="s">
        <v>24</v>
      </c>
      <c r="N347" s="16">
        <v>0</v>
      </c>
      <c r="O347" s="16">
        <v>0</v>
      </c>
      <c r="P347" s="16">
        <v>0</v>
      </c>
      <c r="Q347" s="16">
        <f t="shared" si="25"/>
        <v>0</v>
      </c>
      <c r="R347" s="16">
        <f t="shared" si="26"/>
        <v>0</v>
      </c>
      <c r="S347" s="16">
        <f t="shared" si="27"/>
        <v>0</v>
      </c>
      <c r="T347" s="30">
        <f t="shared" si="28"/>
        <v>0</v>
      </c>
      <c r="U347" s="30">
        <f t="shared" si="29"/>
        <v>0</v>
      </c>
    </row>
    <row r="348" spans="1:21" s="16" customFormat="1" ht="20" customHeight="1" x14ac:dyDescent="0.35">
      <c r="A348" s="16" t="s">
        <v>505</v>
      </c>
      <c r="B348" s="28">
        <v>46141</v>
      </c>
      <c r="C348" s="16" t="s">
        <v>32</v>
      </c>
      <c r="D348" s="16" t="s">
        <v>483</v>
      </c>
      <c r="E348" s="29">
        <v>46113</v>
      </c>
      <c r="F348" s="16" t="s">
        <v>65</v>
      </c>
      <c r="G348" s="16" t="s">
        <v>105</v>
      </c>
      <c r="H348" s="16">
        <v>3</v>
      </c>
      <c r="I348" s="16" t="s">
        <v>106</v>
      </c>
      <c r="J348" s="16" t="s">
        <v>99</v>
      </c>
      <c r="K348" s="16" t="s">
        <v>522</v>
      </c>
      <c r="L348" s="16" t="s">
        <v>504</v>
      </c>
      <c r="M348" s="16" t="s">
        <v>24</v>
      </c>
      <c r="N348" s="16">
        <v>0</v>
      </c>
      <c r="O348" s="16">
        <v>0</v>
      </c>
      <c r="P348" s="16">
        <v>0</v>
      </c>
      <c r="Q348" s="16">
        <f t="shared" si="25"/>
        <v>0</v>
      </c>
      <c r="R348" s="16">
        <f t="shared" si="26"/>
        <v>0</v>
      </c>
      <c r="S348" s="16">
        <f t="shared" si="27"/>
        <v>0</v>
      </c>
      <c r="T348" s="30">
        <f t="shared" si="28"/>
        <v>0</v>
      </c>
      <c r="U348" s="30">
        <f t="shared" si="29"/>
        <v>3000</v>
      </c>
    </row>
    <row r="349" spans="1:21" s="16" customFormat="1" ht="20" customHeight="1" x14ac:dyDescent="0.35">
      <c r="A349" s="16" t="s">
        <v>513</v>
      </c>
      <c r="B349" s="28">
        <v>46142</v>
      </c>
      <c r="C349" s="16" t="s">
        <v>36</v>
      </c>
      <c r="D349" s="16" t="s">
        <v>483</v>
      </c>
      <c r="E349" s="29">
        <v>46113</v>
      </c>
      <c r="F349" s="16" t="s">
        <v>65</v>
      </c>
      <c r="G349" s="16" t="s">
        <v>153</v>
      </c>
      <c r="H349" s="16">
        <v>1</v>
      </c>
      <c r="I349" s="16" t="s">
        <v>154</v>
      </c>
      <c r="J349" s="16" t="s">
        <v>99</v>
      </c>
      <c r="K349" s="16" t="s">
        <v>522</v>
      </c>
      <c r="L349" s="16" t="s">
        <v>506</v>
      </c>
      <c r="M349" s="16" t="s">
        <v>24</v>
      </c>
      <c r="N349" s="16">
        <v>0</v>
      </c>
      <c r="O349" s="16">
        <v>0</v>
      </c>
      <c r="P349" s="16">
        <v>0</v>
      </c>
      <c r="Q349" s="16">
        <f t="shared" si="25"/>
        <v>0</v>
      </c>
      <c r="R349" s="16">
        <f t="shared" si="26"/>
        <v>0</v>
      </c>
      <c r="S349" s="16">
        <f t="shared" si="27"/>
        <v>0</v>
      </c>
      <c r="T349" s="30">
        <f t="shared" si="28"/>
        <v>0</v>
      </c>
      <c r="U349" s="30">
        <f t="shared" si="29"/>
        <v>0</v>
      </c>
    </row>
    <row r="350" spans="1:21" x14ac:dyDescent="0.35">
      <c r="B350" s="1"/>
      <c r="E350" s="2"/>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8"/>
  <sheetViews>
    <sheetView workbookViewId="0">
      <selection activeCell="F32" sqref="F32"/>
    </sheetView>
  </sheetViews>
  <sheetFormatPr defaultRowHeight="13" x14ac:dyDescent="0.35"/>
  <cols>
    <col min="1" max="1" width="2.6328125" style="36" customWidth="1"/>
    <col min="2" max="2" width="21.90625" style="6" customWidth="1"/>
    <col min="3" max="3" width="29.90625" style="6" customWidth="1"/>
    <col min="4" max="4" width="18.90625" style="6" customWidth="1"/>
    <col min="5" max="5" width="15.1796875" style="6" customWidth="1"/>
    <col min="6" max="6" width="15.26953125" style="6" customWidth="1"/>
    <col min="7" max="7" width="13.81640625" style="6" customWidth="1"/>
    <col min="8" max="8" width="17.54296875" style="6" customWidth="1"/>
    <col min="9" max="16384" width="8.7265625" style="6"/>
  </cols>
  <sheetData>
    <row r="1" spans="1:8" ht="45" customHeight="1" thickBot="1" x14ac:dyDescent="0.4">
      <c r="B1" s="52" t="s">
        <v>802</v>
      </c>
      <c r="C1" s="53"/>
      <c r="D1" s="53"/>
      <c r="E1" s="53"/>
      <c r="F1" s="53"/>
      <c r="G1" s="53"/>
      <c r="H1" s="53"/>
    </row>
    <row r="2" spans="1:8" ht="13" customHeight="1" x14ac:dyDescent="0.35">
      <c r="B2" s="25"/>
      <c r="C2" s="25"/>
      <c r="D2" s="25"/>
      <c r="E2" s="25"/>
      <c r="F2" s="25"/>
      <c r="G2" s="25"/>
      <c r="H2" s="25"/>
    </row>
    <row r="3" spans="1:8" ht="20" customHeight="1" x14ac:dyDescent="0.35">
      <c r="B3" s="11" t="s">
        <v>759</v>
      </c>
      <c r="C3" s="6" t="s">
        <v>760</v>
      </c>
    </row>
    <row r="4" spans="1:8" ht="20" customHeight="1" x14ac:dyDescent="0.35">
      <c r="B4" s="11" t="s">
        <v>761</v>
      </c>
      <c r="C4" s="6" t="s">
        <v>762</v>
      </c>
    </row>
    <row r="6" spans="1:8" s="13" customFormat="1" ht="22" customHeight="1" x14ac:dyDescent="0.35">
      <c r="A6" s="37"/>
      <c r="B6" s="12" t="s">
        <v>3</v>
      </c>
      <c r="C6" s="12" t="s">
        <v>763</v>
      </c>
      <c r="D6" s="12" t="s">
        <v>764</v>
      </c>
      <c r="E6" s="12" t="s">
        <v>765</v>
      </c>
      <c r="F6" s="12" t="s">
        <v>766</v>
      </c>
      <c r="G6" s="12" t="s">
        <v>767</v>
      </c>
      <c r="H6" s="12" t="s">
        <v>712</v>
      </c>
    </row>
    <row r="7" spans="1:8" ht="20" customHeight="1" x14ac:dyDescent="0.35">
      <c r="B7" s="12" t="s">
        <v>18</v>
      </c>
      <c r="C7" s="16">
        <v>809.4</v>
      </c>
      <c r="D7" s="16">
        <v>0</v>
      </c>
      <c r="E7" s="16">
        <v>0</v>
      </c>
      <c r="F7" s="16">
        <v>0</v>
      </c>
      <c r="G7" s="16">
        <v>0</v>
      </c>
      <c r="H7" s="16">
        <v>91000</v>
      </c>
    </row>
    <row r="8" spans="1:8" ht="20" customHeight="1" x14ac:dyDescent="0.35">
      <c r="B8" s="12" t="s">
        <v>51</v>
      </c>
      <c r="C8" s="16">
        <v>169.5</v>
      </c>
      <c r="D8" s="16">
        <v>69</v>
      </c>
      <c r="E8" s="16">
        <v>0</v>
      </c>
      <c r="F8" s="16">
        <v>0</v>
      </c>
      <c r="G8" s="16">
        <v>0</v>
      </c>
      <c r="H8" s="16">
        <v>25000</v>
      </c>
    </row>
    <row r="9" spans="1:8" ht="20" customHeight="1" x14ac:dyDescent="0.35">
      <c r="B9" s="12" t="s">
        <v>71</v>
      </c>
      <c r="C9" s="16">
        <v>0</v>
      </c>
      <c r="D9" s="16">
        <v>299</v>
      </c>
      <c r="E9" s="16">
        <v>0</v>
      </c>
      <c r="F9" s="16">
        <v>0</v>
      </c>
      <c r="G9" s="16">
        <v>0</v>
      </c>
      <c r="H9" s="16">
        <v>30500</v>
      </c>
    </row>
    <row r="10" spans="1:8" ht="20" customHeight="1" x14ac:dyDescent="0.35">
      <c r="B10" s="12" t="s">
        <v>97</v>
      </c>
      <c r="C10" s="16">
        <v>0</v>
      </c>
      <c r="D10" s="16">
        <v>40</v>
      </c>
      <c r="E10" s="16">
        <v>354</v>
      </c>
      <c r="F10" s="16">
        <v>64</v>
      </c>
      <c r="G10" s="16">
        <v>77</v>
      </c>
      <c r="H10" s="16">
        <v>110000</v>
      </c>
    </row>
    <row r="11" spans="1:8" ht="20" customHeight="1" x14ac:dyDescent="0.35">
      <c r="B11" s="12" t="s">
        <v>183</v>
      </c>
      <c r="C11" s="16">
        <v>0</v>
      </c>
      <c r="D11" s="16">
        <v>284.5</v>
      </c>
      <c r="E11" s="16">
        <v>113</v>
      </c>
      <c r="F11" s="16">
        <v>301.8</v>
      </c>
      <c r="G11" s="16">
        <v>100</v>
      </c>
      <c r="H11" s="16">
        <v>94000</v>
      </c>
    </row>
    <row r="12" spans="1:8" ht="20" customHeight="1" x14ac:dyDescent="0.35">
      <c r="B12" s="12" t="s">
        <v>242</v>
      </c>
      <c r="C12" s="16">
        <v>20.399999999999999</v>
      </c>
      <c r="D12" s="16">
        <v>192</v>
      </c>
      <c r="E12" s="16">
        <v>332</v>
      </c>
      <c r="F12" s="16">
        <v>183</v>
      </c>
      <c r="G12" s="16">
        <v>119</v>
      </c>
      <c r="H12" s="16">
        <v>116000</v>
      </c>
    </row>
    <row r="13" spans="1:8" ht="20" customHeight="1" x14ac:dyDescent="0.35">
      <c r="B13" s="12" t="s">
        <v>302</v>
      </c>
      <c r="C13" s="16">
        <v>13</v>
      </c>
      <c r="D13" s="16">
        <v>39.5</v>
      </c>
      <c r="E13" s="16">
        <v>186.1</v>
      </c>
      <c r="F13" s="16">
        <v>206.7</v>
      </c>
      <c r="G13" s="16">
        <v>102</v>
      </c>
      <c r="H13" s="16">
        <v>100000</v>
      </c>
    </row>
    <row r="14" spans="1:8" ht="20" customHeight="1" x14ac:dyDescent="0.35">
      <c r="B14" s="12" t="s">
        <v>355</v>
      </c>
      <c r="C14" s="16">
        <v>0</v>
      </c>
      <c r="D14" s="16">
        <v>0</v>
      </c>
      <c r="E14" s="16">
        <v>0</v>
      </c>
      <c r="F14" s="16">
        <v>47.9</v>
      </c>
      <c r="G14" s="16">
        <v>21</v>
      </c>
      <c r="H14" s="16">
        <v>24000</v>
      </c>
    </row>
    <row r="15" spans="1:8" ht="20" customHeight="1" x14ac:dyDescent="0.35">
      <c r="B15" s="12" t="s">
        <v>372</v>
      </c>
      <c r="C15" s="16">
        <v>0</v>
      </c>
      <c r="D15" s="16">
        <v>0</v>
      </c>
      <c r="E15" s="16">
        <v>0</v>
      </c>
      <c r="F15" s="16">
        <v>101.5</v>
      </c>
      <c r="G15" s="16">
        <v>28</v>
      </c>
      <c r="H15" s="16">
        <v>28000</v>
      </c>
    </row>
    <row r="16" spans="1:8" ht="20" customHeight="1" x14ac:dyDescent="0.35">
      <c r="B16" s="12" t="s">
        <v>385</v>
      </c>
      <c r="C16" s="16">
        <v>0</v>
      </c>
      <c r="D16" s="16">
        <v>12</v>
      </c>
      <c r="E16" s="16">
        <v>27.4</v>
      </c>
      <c r="F16" s="16">
        <v>110.6</v>
      </c>
      <c r="G16" s="16">
        <v>59</v>
      </c>
      <c r="H16" s="16">
        <v>68000</v>
      </c>
    </row>
    <row r="17" spans="2:8" ht="20" customHeight="1" x14ac:dyDescent="0.35">
      <c r="B17" s="12" t="s">
        <v>442</v>
      </c>
      <c r="C17" s="16">
        <v>0</v>
      </c>
      <c r="D17" s="16">
        <v>0</v>
      </c>
      <c r="E17" s="16">
        <v>0</v>
      </c>
      <c r="F17" s="16">
        <v>6</v>
      </c>
      <c r="G17" s="16">
        <v>5</v>
      </c>
      <c r="H17" s="16">
        <v>18000</v>
      </c>
    </row>
    <row r="18" spans="2:8" ht="20" customHeight="1" x14ac:dyDescent="0.35">
      <c r="B18" s="12" t="s">
        <v>463</v>
      </c>
      <c r="C18" s="16">
        <v>0</v>
      </c>
      <c r="D18" s="16">
        <v>0</v>
      </c>
      <c r="E18" s="16">
        <v>0</v>
      </c>
      <c r="F18" s="16">
        <v>0</v>
      </c>
      <c r="G18" s="16">
        <v>0</v>
      </c>
      <c r="H18" s="16">
        <v>28000</v>
      </c>
    </row>
    <row r="19" spans="2:8" ht="20" customHeight="1" x14ac:dyDescent="0.35">
      <c r="B19" s="12" t="s">
        <v>478</v>
      </c>
      <c r="C19" s="16">
        <v>0</v>
      </c>
      <c r="D19" s="16">
        <v>0</v>
      </c>
      <c r="E19" s="16">
        <v>0</v>
      </c>
      <c r="F19" s="16">
        <v>0</v>
      </c>
      <c r="G19" s="16">
        <v>0</v>
      </c>
      <c r="H19" s="16">
        <v>12000</v>
      </c>
    </row>
    <row r="20" spans="2:8" ht="20" customHeight="1" x14ac:dyDescent="0.35">
      <c r="B20" s="12" t="s">
        <v>483</v>
      </c>
      <c r="C20" s="16">
        <v>0</v>
      </c>
      <c r="D20" s="16">
        <v>0</v>
      </c>
      <c r="E20" s="16">
        <v>0</v>
      </c>
      <c r="F20" s="16">
        <v>0</v>
      </c>
      <c r="G20" s="16">
        <v>3</v>
      </c>
      <c r="H20" s="16">
        <v>0</v>
      </c>
    </row>
    <row r="21" spans="2:8" ht="20" customHeight="1" x14ac:dyDescent="0.35">
      <c r="B21" s="12" t="s">
        <v>768</v>
      </c>
      <c r="C21" s="12">
        <v>1012.3</v>
      </c>
      <c r="D21" s="12">
        <v>936</v>
      </c>
      <c r="E21" s="12">
        <v>1012.5</v>
      </c>
      <c r="F21" s="12">
        <v>1021.5</v>
      </c>
      <c r="G21" s="12">
        <v>514</v>
      </c>
      <c r="H21" s="12">
        <v>744500</v>
      </c>
    </row>
    <row r="23" spans="2:8" ht="31" customHeight="1" x14ac:dyDescent="0.35">
      <c r="B23" s="54" t="s">
        <v>781</v>
      </c>
      <c r="C23" s="55"/>
    </row>
    <row r="24" spans="2:8" ht="22" customHeight="1" x14ac:dyDescent="0.35">
      <c r="B24" s="11" t="s">
        <v>782</v>
      </c>
      <c r="C24" s="6" t="s">
        <v>783</v>
      </c>
    </row>
    <row r="25" spans="2:8" ht="22" customHeight="1" x14ac:dyDescent="0.35">
      <c r="B25" s="11" t="s">
        <v>784</v>
      </c>
      <c r="C25" s="6" t="s">
        <v>785</v>
      </c>
    </row>
    <row r="26" spans="2:8" ht="22" customHeight="1" x14ac:dyDescent="0.35">
      <c r="B26" s="11" t="s">
        <v>786</v>
      </c>
      <c r="C26" s="6" t="s">
        <v>787</v>
      </c>
    </row>
    <row r="27" spans="2:8" ht="22" customHeight="1" x14ac:dyDescent="0.35">
      <c r="B27" s="11" t="s">
        <v>788</v>
      </c>
      <c r="C27" s="6" t="s">
        <v>789</v>
      </c>
    </row>
    <row r="28" spans="2:8" ht="22" customHeight="1" x14ac:dyDescent="0.35">
      <c r="B28" s="11" t="s">
        <v>790</v>
      </c>
      <c r="C28" s="6" t="s">
        <v>791</v>
      </c>
    </row>
    <row r="29" spans="2:8" ht="22" customHeight="1" x14ac:dyDescent="0.35">
      <c r="B29" s="11" t="s">
        <v>792</v>
      </c>
      <c r="C29" s="6" t="s">
        <v>793</v>
      </c>
    </row>
    <row r="30" spans="2:8" ht="22" customHeight="1" x14ac:dyDescent="0.35">
      <c r="B30" s="11" t="s">
        <v>794</v>
      </c>
      <c r="C30" s="6" t="s">
        <v>795</v>
      </c>
    </row>
    <row r="31" spans="2:8" x14ac:dyDescent="0.35">
      <c r="B31" s="11" t="s">
        <v>796</v>
      </c>
      <c r="C31" s="14">
        <v>46142</v>
      </c>
    </row>
    <row r="32" spans="2:8" ht="22" customHeight="1" x14ac:dyDescent="0.35"/>
    <row r="33" spans="2:3" ht="20" customHeight="1" x14ac:dyDescent="0.35">
      <c r="B33" s="54" t="s">
        <v>797</v>
      </c>
      <c r="C33" s="55"/>
    </row>
    <row r="34" spans="2:3" ht="30" customHeight="1" x14ac:dyDescent="0.35">
      <c r="B34" s="11" t="s">
        <v>521</v>
      </c>
      <c r="C34" s="5" t="s">
        <v>798</v>
      </c>
    </row>
    <row r="35" spans="2:3" ht="30" customHeight="1" x14ac:dyDescent="0.35">
      <c r="B35" s="11" t="s">
        <v>522</v>
      </c>
      <c r="C35" s="5" t="s">
        <v>799</v>
      </c>
    </row>
    <row r="36" spans="2:3" ht="30" customHeight="1" x14ac:dyDescent="0.35">
      <c r="B36" s="11" t="s">
        <v>460</v>
      </c>
      <c r="C36" s="5" t="s">
        <v>800</v>
      </c>
    </row>
    <row r="37" spans="2:3" ht="20" customHeight="1" x14ac:dyDescent="0.35">
      <c r="B37" s="11" t="s">
        <v>86</v>
      </c>
      <c r="C37" s="6" t="s">
        <v>801</v>
      </c>
    </row>
    <row r="39" spans="2:3" ht="22" customHeight="1" x14ac:dyDescent="0.35"/>
    <row r="40" spans="2:3" ht="20" customHeight="1" x14ac:dyDescent="0.35"/>
    <row r="41" spans="2:3" ht="20" customHeight="1" x14ac:dyDescent="0.35"/>
    <row r="42" spans="2:3" ht="20" customHeight="1" x14ac:dyDescent="0.35"/>
    <row r="44" spans="2:3" ht="22" customHeight="1" x14ac:dyDescent="0.35"/>
    <row r="45" spans="2:3" ht="20" customHeight="1" x14ac:dyDescent="0.35"/>
    <row r="46" spans="2:3" ht="20" customHeight="1" x14ac:dyDescent="0.35"/>
    <row r="47" spans="2:3" ht="20" customHeight="1" x14ac:dyDescent="0.35"/>
    <row r="48" spans="2:3" ht="20" customHeight="1" x14ac:dyDescent="0.35"/>
    <row r="49" spans="4:4" ht="20" customHeight="1" x14ac:dyDescent="0.35"/>
    <row r="50" spans="4:4" ht="20" customHeight="1" x14ac:dyDescent="0.35">
      <c r="D50" s="5"/>
    </row>
    <row r="51" spans="4:4" ht="20" customHeight="1" x14ac:dyDescent="0.35">
      <c r="D51" s="5"/>
    </row>
    <row r="52" spans="4:4" ht="20" customHeight="1" x14ac:dyDescent="0.35">
      <c r="D52" s="5"/>
    </row>
    <row r="54" spans="4:4" ht="22" customHeight="1" x14ac:dyDescent="0.35"/>
    <row r="55" spans="4:4" ht="30" customHeight="1" x14ac:dyDescent="0.35"/>
    <row r="56" spans="4:4" ht="30" customHeight="1" x14ac:dyDescent="0.35"/>
    <row r="57" spans="4:4" ht="30" customHeight="1" x14ac:dyDescent="0.35"/>
    <row r="58" spans="4:4" ht="20" customHeight="1" x14ac:dyDescent="0.35"/>
  </sheetData>
  <mergeCells count="3">
    <mergeCell ref="B23:C23"/>
    <mergeCell ref="B33:C33"/>
    <mergeCell ref="B1:H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7"/>
  <sheetViews>
    <sheetView workbookViewId="0">
      <selection activeCell="C58" sqref="C58"/>
    </sheetView>
  </sheetViews>
  <sheetFormatPr defaultRowHeight="14.5" x14ac:dyDescent="0.35"/>
  <cols>
    <col min="1" max="1" width="2.6328125" style="34" customWidth="1"/>
    <col min="2" max="2" width="41.90625" customWidth="1"/>
    <col min="3" max="3" width="56.7265625" customWidth="1"/>
  </cols>
  <sheetData>
    <row r="1" spans="1:3" ht="45" customHeight="1" thickBot="1" x14ac:dyDescent="0.4">
      <c r="B1" s="52" t="s">
        <v>875</v>
      </c>
      <c r="C1" s="53"/>
    </row>
    <row r="2" spans="1:3" ht="14.5" customHeight="1" x14ac:dyDescent="0.35">
      <c r="B2" s="24"/>
      <c r="C2" s="24"/>
    </row>
    <row r="3" spans="1:3" s="4" customFormat="1" ht="22" customHeight="1" x14ac:dyDescent="0.3">
      <c r="A3" s="38"/>
      <c r="B3" s="15" t="s">
        <v>803</v>
      </c>
    </row>
    <row r="4" spans="1:3" s="4" customFormat="1" ht="20" customHeight="1" x14ac:dyDescent="0.3">
      <c r="A4" s="38"/>
      <c r="B4" s="13" t="s">
        <v>804</v>
      </c>
      <c r="C4" s="9" t="s">
        <v>805</v>
      </c>
    </row>
    <row r="5" spans="1:3" s="4" customFormat="1" ht="20" customHeight="1" x14ac:dyDescent="0.3">
      <c r="A5" s="38"/>
      <c r="B5" s="13" t="s">
        <v>806</v>
      </c>
      <c r="C5" s="9" t="s">
        <v>807</v>
      </c>
    </row>
    <row r="6" spans="1:3" s="4" customFormat="1" ht="20" customHeight="1" x14ac:dyDescent="0.3">
      <c r="A6" s="38"/>
      <c r="B6" s="13" t="s">
        <v>808</v>
      </c>
      <c r="C6" s="9" t="s">
        <v>776</v>
      </c>
    </row>
    <row r="7" spans="1:3" s="4" customFormat="1" ht="20" customHeight="1" x14ac:dyDescent="0.3">
      <c r="A7" s="38"/>
      <c r="B7" s="13" t="s">
        <v>809</v>
      </c>
      <c r="C7" s="9" t="s">
        <v>810</v>
      </c>
    </row>
    <row r="8" spans="1:3" s="4" customFormat="1" ht="20" customHeight="1" x14ac:dyDescent="0.3">
      <c r="A8" s="38"/>
      <c r="B8" s="13" t="s">
        <v>811</v>
      </c>
      <c r="C8" s="9" t="s">
        <v>812</v>
      </c>
    </row>
    <row r="9" spans="1:3" s="4" customFormat="1" ht="20" customHeight="1" x14ac:dyDescent="0.3">
      <c r="A9" s="38"/>
      <c r="B9" s="13" t="s">
        <v>813</v>
      </c>
      <c r="C9" s="9" t="s">
        <v>779</v>
      </c>
    </row>
    <row r="10" spans="1:3" s="4" customFormat="1" ht="20" customHeight="1" x14ac:dyDescent="0.3">
      <c r="A10" s="38"/>
      <c r="B10" s="13" t="s">
        <v>814</v>
      </c>
      <c r="C10" s="9" t="s">
        <v>780</v>
      </c>
    </row>
    <row r="11" spans="1:3" s="4" customFormat="1" ht="30" customHeight="1" x14ac:dyDescent="0.3">
      <c r="A11" s="38"/>
      <c r="B11" s="13" t="s">
        <v>815</v>
      </c>
      <c r="C11" s="17" t="s">
        <v>816</v>
      </c>
    </row>
    <row r="12" spans="1:3" s="4" customFormat="1" ht="13" x14ac:dyDescent="0.3">
      <c r="A12" s="38"/>
    </row>
    <row r="13" spans="1:3" s="4" customFormat="1" ht="22" customHeight="1" x14ac:dyDescent="0.3">
      <c r="A13" s="38"/>
      <c r="B13" s="15" t="s">
        <v>817</v>
      </c>
      <c r="C13" s="6"/>
    </row>
    <row r="14" spans="1:3" s="4" customFormat="1" ht="20" customHeight="1" x14ac:dyDescent="0.3">
      <c r="A14" s="38"/>
      <c r="B14" s="11" t="s">
        <v>818</v>
      </c>
      <c r="C14" s="6" t="s">
        <v>819</v>
      </c>
    </row>
    <row r="15" spans="1:3" s="4" customFormat="1" ht="20" customHeight="1" x14ac:dyDescent="0.3">
      <c r="A15" s="38"/>
      <c r="B15" s="11" t="s">
        <v>820</v>
      </c>
      <c r="C15" s="6" t="s">
        <v>821</v>
      </c>
    </row>
    <row r="16" spans="1:3" s="4" customFormat="1" ht="20" customHeight="1" x14ac:dyDescent="0.3">
      <c r="A16" s="38"/>
      <c r="B16" s="11" t="s">
        <v>822</v>
      </c>
      <c r="C16" s="6" t="s">
        <v>823</v>
      </c>
    </row>
    <row r="17" spans="1:3" s="4" customFormat="1" ht="20" customHeight="1" x14ac:dyDescent="0.3">
      <c r="A17" s="38"/>
      <c r="B17" s="11" t="s">
        <v>824</v>
      </c>
      <c r="C17" s="6" t="s">
        <v>825</v>
      </c>
    </row>
    <row r="18" spans="1:3" s="4" customFormat="1" ht="20" customHeight="1" x14ac:dyDescent="0.3">
      <c r="A18" s="38"/>
      <c r="B18" s="11" t="s">
        <v>826</v>
      </c>
      <c r="C18" s="6" t="s">
        <v>827</v>
      </c>
    </row>
    <row r="19" spans="1:3" s="4" customFormat="1" ht="13" x14ac:dyDescent="0.3">
      <c r="A19" s="38"/>
    </row>
    <row r="20" spans="1:3" s="4" customFormat="1" ht="22" customHeight="1" x14ac:dyDescent="0.3">
      <c r="A20" s="38"/>
      <c r="B20" s="15" t="s">
        <v>828</v>
      </c>
      <c r="C20" s="6"/>
    </row>
    <row r="21" spans="1:3" s="4" customFormat="1" ht="20" customHeight="1" x14ac:dyDescent="0.3">
      <c r="A21" s="38"/>
      <c r="B21" s="11" t="s">
        <v>829</v>
      </c>
      <c r="C21" s="6" t="s">
        <v>830</v>
      </c>
    </row>
    <row r="22" spans="1:3" s="4" customFormat="1" ht="20" customHeight="1" x14ac:dyDescent="0.3">
      <c r="A22" s="38"/>
      <c r="B22" s="11" t="s">
        <v>831</v>
      </c>
      <c r="C22" s="6" t="s">
        <v>832</v>
      </c>
    </row>
    <row r="23" spans="1:3" s="4" customFormat="1" ht="20" customHeight="1" x14ac:dyDescent="0.3">
      <c r="A23" s="38"/>
      <c r="B23" s="11" t="s">
        <v>833</v>
      </c>
      <c r="C23" s="6" t="s">
        <v>834</v>
      </c>
    </row>
    <row r="24" spans="1:3" s="4" customFormat="1" ht="20" customHeight="1" x14ac:dyDescent="0.3">
      <c r="A24" s="38"/>
      <c r="B24" s="11" t="s">
        <v>835</v>
      </c>
      <c r="C24" s="6" t="s">
        <v>836</v>
      </c>
    </row>
    <row r="25" spans="1:3" s="4" customFormat="1" ht="20" customHeight="1" x14ac:dyDescent="0.3">
      <c r="A25" s="38"/>
      <c r="B25" s="6"/>
      <c r="C25" s="6"/>
    </row>
    <row r="26" spans="1:3" s="4" customFormat="1" ht="22" customHeight="1" x14ac:dyDescent="0.3">
      <c r="A26" s="38"/>
      <c r="B26" s="15" t="s">
        <v>837</v>
      </c>
      <c r="C26" s="6"/>
    </row>
    <row r="27" spans="1:3" s="4" customFormat="1" ht="20" customHeight="1" x14ac:dyDescent="0.3">
      <c r="A27" s="38"/>
      <c r="B27" s="11" t="s">
        <v>153</v>
      </c>
      <c r="C27" s="6" t="s">
        <v>838</v>
      </c>
    </row>
    <row r="28" spans="1:3" s="4" customFormat="1" ht="20" customHeight="1" x14ac:dyDescent="0.3">
      <c r="A28" s="38"/>
      <c r="B28" s="11" t="s">
        <v>164</v>
      </c>
      <c r="C28" s="6" t="s">
        <v>839</v>
      </c>
    </row>
    <row r="29" spans="1:3" s="4" customFormat="1" ht="20" customHeight="1" x14ac:dyDescent="0.3">
      <c r="A29" s="38"/>
      <c r="B29" s="11" t="s">
        <v>469</v>
      </c>
      <c r="C29" s="6" t="s">
        <v>840</v>
      </c>
    </row>
    <row r="30" spans="1:3" s="4" customFormat="1" ht="20" customHeight="1" x14ac:dyDescent="0.3">
      <c r="A30" s="38"/>
      <c r="B30" s="11" t="s">
        <v>459</v>
      </c>
      <c r="C30" s="6" t="s">
        <v>841</v>
      </c>
    </row>
    <row r="31" spans="1:3" s="4" customFormat="1" ht="20" customHeight="1" x14ac:dyDescent="0.3">
      <c r="A31" s="38"/>
      <c r="B31" s="11" t="s">
        <v>842</v>
      </c>
      <c r="C31" s="6" t="s">
        <v>843</v>
      </c>
    </row>
    <row r="32" spans="1:3" s="4" customFormat="1" ht="13" x14ac:dyDescent="0.3">
      <c r="A32" s="38"/>
    </row>
    <row r="33" spans="1:3" s="4" customFormat="1" ht="22" customHeight="1" x14ac:dyDescent="0.3">
      <c r="A33" s="38"/>
      <c r="B33" s="15" t="s">
        <v>844</v>
      </c>
      <c r="C33" s="6"/>
    </row>
    <row r="34" spans="1:3" s="4" customFormat="1" ht="20" customHeight="1" x14ac:dyDescent="0.3">
      <c r="A34" s="38"/>
      <c r="B34" s="11" t="s">
        <v>845</v>
      </c>
      <c r="C34" s="6"/>
    </row>
    <row r="35" spans="1:3" s="4" customFormat="1" ht="20" customHeight="1" x14ac:dyDescent="0.3">
      <c r="A35" s="38"/>
      <c r="B35" s="11" t="s">
        <v>846</v>
      </c>
      <c r="C35" s="6" t="s">
        <v>847</v>
      </c>
    </row>
    <row r="36" spans="1:3" s="4" customFormat="1" ht="20" customHeight="1" x14ac:dyDescent="0.3">
      <c r="A36" s="38"/>
      <c r="B36" s="11" t="s">
        <v>848</v>
      </c>
      <c r="C36" s="6" t="s">
        <v>849</v>
      </c>
    </row>
    <row r="37" spans="1:3" s="4" customFormat="1" ht="20" customHeight="1" x14ac:dyDescent="0.3">
      <c r="A37" s="38"/>
      <c r="B37" s="11" t="s">
        <v>850</v>
      </c>
      <c r="C37" s="6" t="s">
        <v>851</v>
      </c>
    </row>
    <row r="38" spans="1:3" s="4" customFormat="1" ht="20" customHeight="1" x14ac:dyDescent="0.3">
      <c r="A38" s="38"/>
      <c r="B38" s="11" t="s">
        <v>852</v>
      </c>
      <c r="C38" s="6"/>
    </row>
    <row r="39" spans="1:3" s="4" customFormat="1" ht="20" customHeight="1" x14ac:dyDescent="0.3">
      <c r="A39" s="38"/>
      <c r="B39" s="11" t="s">
        <v>853</v>
      </c>
      <c r="C39" s="6" t="s">
        <v>854</v>
      </c>
    </row>
    <row r="40" spans="1:3" s="4" customFormat="1" ht="20" customHeight="1" x14ac:dyDescent="0.3">
      <c r="A40" s="38"/>
      <c r="B40" s="11" t="s">
        <v>855</v>
      </c>
      <c r="C40" s="6" t="s">
        <v>856</v>
      </c>
    </row>
    <row r="41" spans="1:3" s="4" customFormat="1" ht="20" customHeight="1" x14ac:dyDescent="0.3">
      <c r="A41" s="38"/>
      <c r="B41" s="11" t="s">
        <v>857</v>
      </c>
      <c r="C41" s="6" t="s">
        <v>858</v>
      </c>
    </row>
    <row r="42" spans="1:3" s="4" customFormat="1" ht="20" customHeight="1" x14ac:dyDescent="0.3">
      <c r="A42" s="38"/>
      <c r="B42" s="11" t="s">
        <v>859</v>
      </c>
      <c r="C42" s="6" t="s">
        <v>860</v>
      </c>
    </row>
    <row r="43" spans="1:3" s="4" customFormat="1" ht="20" customHeight="1" x14ac:dyDescent="0.3">
      <c r="A43" s="38"/>
      <c r="B43" s="11" t="s">
        <v>861</v>
      </c>
      <c r="C43" s="6" t="s">
        <v>862</v>
      </c>
    </row>
    <row r="44" spans="1:3" s="4" customFormat="1" ht="13" x14ac:dyDescent="0.3">
      <c r="A44" s="38"/>
      <c r="B44" s="6"/>
      <c r="C44" s="6"/>
    </row>
    <row r="45" spans="1:3" s="4" customFormat="1" ht="22" customHeight="1" x14ac:dyDescent="0.3">
      <c r="A45" s="38"/>
      <c r="B45" s="15" t="s">
        <v>863</v>
      </c>
      <c r="C45" s="6"/>
    </row>
    <row r="46" spans="1:3" s="4" customFormat="1" ht="20" customHeight="1" x14ac:dyDescent="0.3">
      <c r="A46" s="38"/>
      <c r="B46" s="56" t="s">
        <v>876</v>
      </c>
      <c r="C46" s="56"/>
    </row>
    <row r="47" spans="1:3" s="4" customFormat="1" ht="20" customHeight="1" x14ac:dyDescent="0.3">
      <c r="A47" s="38"/>
      <c r="B47" s="11" t="s">
        <v>864</v>
      </c>
      <c r="C47" s="6" t="s">
        <v>770</v>
      </c>
    </row>
    <row r="48" spans="1:3" s="4" customFormat="1" ht="20" customHeight="1" x14ac:dyDescent="0.3">
      <c r="A48" s="38"/>
      <c r="B48" s="11" t="s">
        <v>865</v>
      </c>
      <c r="C48" s="6" t="s">
        <v>866</v>
      </c>
    </row>
    <row r="49" spans="1:3" s="4" customFormat="1" ht="20" customHeight="1" x14ac:dyDescent="0.3">
      <c r="A49" s="38"/>
      <c r="B49" s="11" t="s">
        <v>867</v>
      </c>
      <c r="C49" s="6" t="s">
        <v>868</v>
      </c>
    </row>
    <row r="50" spans="1:3" s="4" customFormat="1" ht="20" customHeight="1" x14ac:dyDescent="0.3">
      <c r="A50" s="38"/>
      <c r="B50" s="11" t="s">
        <v>869</v>
      </c>
      <c r="C50" s="6" t="s">
        <v>870</v>
      </c>
    </row>
    <row r="51" spans="1:3" s="4" customFormat="1" ht="20" customHeight="1" x14ac:dyDescent="0.3">
      <c r="A51" s="38"/>
      <c r="B51" s="11"/>
      <c r="C51" s="6"/>
    </row>
    <row r="52" spans="1:3" s="4" customFormat="1" ht="20" customHeight="1" x14ac:dyDescent="0.3">
      <c r="A52" s="38"/>
      <c r="B52" s="56" t="s">
        <v>877</v>
      </c>
      <c r="C52" s="56"/>
    </row>
    <row r="53" spans="1:3" s="4" customFormat="1" ht="20" customHeight="1" x14ac:dyDescent="0.3">
      <c r="A53" s="38"/>
      <c r="B53" s="11" t="s">
        <v>864</v>
      </c>
      <c r="C53" s="6" t="s">
        <v>771</v>
      </c>
    </row>
    <row r="54" spans="1:3" s="4" customFormat="1" ht="20" customHeight="1" x14ac:dyDescent="0.3">
      <c r="A54" s="38"/>
      <c r="B54" s="11" t="s">
        <v>865</v>
      </c>
      <c r="C54" s="6" t="s">
        <v>866</v>
      </c>
    </row>
    <row r="55" spans="1:3" s="4" customFormat="1" ht="20" customHeight="1" x14ac:dyDescent="0.3">
      <c r="A55" s="38"/>
      <c r="B55" s="11" t="s">
        <v>867</v>
      </c>
      <c r="C55" s="6" t="s">
        <v>871</v>
      </c>
    </row>
    <row r="56" spans="1:3" s="4" customFormat="1" ht="20" customHeight="1" x14ac:dyDescent="0.3">
      <c r="A56" s="38"/>
      <c r="B56" s="11" t="s">
        <v>869</v>
      </c>
      <c r="C56" s="6" t="s">
        <v>872</v>
      </c>
    </row>
    <row r="57" spans="1:3" s="4" customFormat="1" ht="20" customHeight="1" x14ac:dyDescent="0.3">
      <c r="A57" s="38"/>
      <c r="B57" s="11" t="s">
        <v>873</v>
      </c>
      <c r="C57" s="6" t="s">
        <v>874</v>
      </c>
    </row>
  </sheetData>
  <mergeCells count="3">
    <mergeCell ref="B1:C1"/>
    <mergeCell ref="B46:C46"/>
    <mergeCell ref="B52:C5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
  <sheetViews>
    <sheetView workbookViewId="0">
      <selection sqref="A1:A1048576"/>
    </sheetView>
  </sheetViews>
  <sheetFormatPr defaultRowHeight="14.5" x14ac:dyDescent="0.35"/>
  <cols>
    <col min="1" max="1" width="2.6328125" style="34" customWidth="1"/>
    <col min="2" max="2" width="30" style="6" customWidth="1"/>
    <col min="3" max="3" width="22.36328125" style="6" customWidth="1"/>
    <col min="4" max="4" width="17.6328125" style="6" customWidth="1"/>
    <col min="5" max="5" width="15.1796875" style="6" customWidth="1"/>
    <col min="6" max="6" width="12.453125" style="6" customWidth="1"/>
    <col min="7" max="7" width="12.36328125" style="6" customWidth="1"/>
    <col min="8" max="8" width="15.36328125" style="6" customWidth="1"/>
  </cols>
  <sheetData>
    <row r="1" spans="2:8" ht="40" customHeight="1" thickBot="1" x14ac:dyDescent="0.4">
      <c r="B1" s="52" t="s">
        <v>899</v>
      </c>
      <c r="C1" s="53"/>
      <c r="D1" s="53"/>
      <c r="E1" s="53"/>
      <c r="F1" s="53"/>
      <c r="G1" s="53"/>
      <c r="H1" s="53"/>
    </row>
    <row r="2" spans="2:8" x14ac:dyDescent="0.35">
      <c r="B2" s="23"/>
      <c r="C2" s="23"/>
      <c r="D2" s="23"/>
      <c r="E2" s="23"/>
      <c r="F2" s="23"/>
      <c r="G2" s="23"/>
      <c r="H2" s="23"/>
    </row>
    <row r="3" spans="2:8" ht="22" customHeight="1" x14ac:dyDescent="0.35">
      <c r="B3" s="15" t="s">
        <v>878</v>
      </c>
    </row>
    <row r="4" spans="2:8" ht="20" customHeight="1" x14ac:dyDescent="0.35">
      <c r="B4" s="6" t="s">
        <v>879</v>
      </c>
      <c r="C4" s="6" t="s">
        <v>880</v>
      </c>
      <c r="D4" s="6" t="s">
        <v>881</v>
      </c>
    </row>
    <row r="5" spans="2:8" ht="20" customHeight="1" x14ac:dyDescent="0.35">
      <c r="B5" s="11" t="s">
        <v>882</v>
      </c>
      <c r="C5" s="19">
        <v>1701120</v>
      </c>
      <c r="D5" s="20">
        <v>0.379</v>
      </c>
    </row>
    <row r="6" spans="2:8" ht="20" customHeight="1" x14ac:dyDescent="0.35">
      <c r="B6" s="11" t="s">
        <v>883</v>
      </c>
      <c r="C6" s="19">
        <v>1021500</v>
      </c>
      <c r="D6" s="20">
        <v>0.22800000000000001</v>
      </c>
    </row>
    <row r="7" spans="2:8" ht="20" customHeight="1" x14ac:dyDescent="0.35">
      <c r="B7" s="11" t="s">
        <v>884</v>
      </c>
      <c r="C7" s="19">
        <v>514000</v>
      </c>
      <c r="D7" s="20">
        <v>0.115</v>
      </c>
    </row>
    <row r="8" spans="2:8" ht="20" customHeight="1" x14ac:dyDescent="0.35">
      <c r="B8" s="11" t="s">
        <v>27</v>
      </c>
      <c r="C8" s="19">
        <v>744500</v>
      </c>
      <c r="D8" s="20">
        <v>0.16600000000000001</v>
      </c>
    </row>
    <row r="9" spans="2:8" ht="20" customHeight="1" x14ac:dyDescent="0.35">
      <c r="B9" s="11" t="s">
        <v>885</v>
      </c>
      <c r="C9" s="19">
        <v>506250</v>
      </c>
      <c r="D9" s="20">
        <v>0.113</v>
      </c>
    </row>
    <row r="10" spans="2:8" ht="20" customHeight="1" x14ac:dyDescent="0.35">
      <c r="B10" s="11" t="s">
        <v>768</v>
      </c>
      <c r="C10" s="21">
        <v>4487370</v>
      </c>
      <c r="D10" s="22">
        <v>1</v>
      </c>
    </row>
    <row r="11" spans="2:8" ht="20" customHeight="1" x14ac:dyDescent="0.35"/>
    <row r="12" spans="2:8" ht="22" customHeight="1" x14ac:dyDescent="0.35">
      <c r="B12" s="15" t="s">
        <v>886</v>
      </c>
    </row>
    <row r="13" spans="2:8" ht="20" customHeight="1" x14ac:dyDescent="0.35">
      <c r="B13" s="6" t="s">
        <v>10</v>
      </c>
      <c r="C13" s="6" t="s">
        <v>887</v>
      </c>
      <c r="D13" s="6" t="s">
        <v>20</v>
      </c>
      <c r="E13" s="6" t="s">
        <v>888</v>
      </c>
      <c r="F13" s="6" t="s">
        <v>889</v>
      </c>
      <c r="G13" s="6" t="s">
        <v>890</v>
      </c>
      <c r="H13" s="6" t="s">
        <v>768</v>
      </c>
    </row>
    <row r="14" spans="2:8" ht="20" customHeight="1" x14ac:dyDescent="0.35">
      <c r="B14" s="11" t="s">
        <v>521</v>
      </c>
      <c r="C14" s="19">
        <v>316500</v>
      </c>
      <c r="D14" s="19">
        <v>988720</v>
      </c>
      <c r="E14" s="19">
        <v>233500</v>
      </c>
      <c r="F14" s="19">
        <v>428800</v>
      </c>
      <c r="G14" s="19">
        <v>205000</v>
      </c>
      <c r="H14" s="19">
        <v>2172520</v>
      </c>
    </row>
    <row r="15" spans="2:8" ht="20" customHeight="1" x14ac:dyDescent="0.35">
      <c r="B15" s="11" t="s">
        <v>522</v>
      </c>
      <c r="C15" s="19">
        <v>388000</v>
      </c>
      <c r="D15" s="19">
        <v>712400</v>
      </c>
      <c r="E15" s="19">
        <v>272750</v>
      </c>
      <c r="F15" s="19">
        <v>592700</v>
      </c>
      <c r="G15" s="19">
        <v>309000</v>
      </c>
      <c r="H15" s="19">
        <v>2274850</v>
      </c>
    </row>
    <row r="16" spans="2:8" ht="20" customHeight="1" x14ac:dyDescent="0.35">
      <c r="B16" s="11" t="s">
        <v>460</v>
      </c>
      <c r="C16" s="19">
        <v>40000</v>
      </c>
      <c r="D16" s="6">
        <v>0</v>
      </c>
      <c r="E16" s="6">
        <v>0</v>
      </c>
      <c r="F16" s="6">
        <v>0</v>
      </c>
      <c r="G16" s="6">
        <v>0</v>
      </c>
      <c r="H16" s="19">
        <v>40000</v>
      </c>
    </row>
    <row r="17" spans="2:8" ht="20" customHeight="1" x14ac:dyDescent="0.35">
      <c r="B17" s="11" t="s">
        <v>86</v>
      </c>
      <c r="C17" s="6">
        <v>0</v>
      </c>
      <c r="D17" s="6">
        <v>0</v>
      </c>
      <c r="E17" s="6">
        <v>0</v>
      </c>
      <c r="F17" s="6">
        <v>0</v>
      </c>
      <c r="G17" s="6">
        <v>0</v>
      </c>
      <c r="H17" s="6">
        <v>0</v>
      </c>
    </row>
    <row r="18" spans="2:8" ht="20" customHeight="1" x14ac:dyDescent="0.35">
      <c r="B18" s="11" t="s">
        <v>768</v>
      </c>
      <c r="C18" s="21">
        <v>744500</v>
      </c>
      <c r="D18" s="21">
        <v>1701120</v>
      </c>
      <c r="E18" s="21">
        <v>506250</v>
      </c>
      <c r="F18" s="21">
        <v>1021500</v>
      </c>
      <c r="G18" s="21">
        <v>514000</v>
      </c>
      <c r="H18" s="21">
        <v>4487370</v>
      </c>
    </row>
    <row r="19" spans="2:8" ht="20" customHeight="1" x14ac:dyDescent="0.35"/>
    <row r="20" spans="2:8" ht="22" customHeight="1" x14ac:dyDescent="0.35">
      <c r="B20" s="15" t="s">
        <v>891</v>
      </c>
    </row>
    <row r="21" spans="2:8" ht="20" customHeight="1" x14ac:dyDescent="0.35">
      <c r="B21" s="6" t="s">
        <v>3</v>
      </c>
      <c r="C21" s="6" t="s">
        <v>887</v>
      </c>
      <c r="D21" s="6" t="s">
        <v>20</v>
      </c>
      <c r="E21" s="6" t="s">
        <v>888</v>
      </c>
      <c r="F21" s="6" t="s">
        <v>889</v>
      </c>
      <c r="G21" s="6" t="s">
        <v>890</v>
      </c>
      <c r="H21" s="6" t="s">
        <v>892</v>
      </c>
    </row>
    <row r="22" spans="2:8" ht="20" customHeight="1" x14ac:dyDescent="0.35">
      <c r="B22" s="11" t="s">
        <v>18</v>
      </c>
      <c r="C22" s="19">
        <v>91000</v>
      </c>
      <c r="D22" s="19">
        <v>718720</v>
      </c>
      <c r="E22" s="6">
        <v>0</v>
      </c>
      <c r="F22" s="6">
        <v>0</v>
      </c>
      <c r="G22" s="6">
        <v>0</v>
      </c>
      <c r="H22" s="19">
        <v>809720</v>
      </c>
    </row>
    <row r="23" spans="2:8" ht="20" customHeight="1" x14ac:dyDescent="0.35">
      <c r="B23" s="11" t="s">
        <v>51</v>
      </c>
      <c r="C23" s="19">
        <v>25000</v>
      </c>
      <c r="D23" s="19">
        <v>224700</v>
      </c>
      <c r="E23" s="6">
        <v>0</v>
      </c>
      <c r="F23" s="6">
        <v>0</v>
      </c>
      <c r="G23" s="6">
        <v>0</v>
      </c>
      <c r="H23" s="19">
        <v>249700</v>
      </c>
    </row>
    <row r="24" spans="2:8" ht="20" customHeight="1" x14ac:dyDescent="0.35">
      <c r="B24" s="11" t="s">
        <v>71</v>
      </c>
      <c r="C24" s="19">
        <v>30500</v>
      </c>
      <c r="D24" s="19">
        <v>239200</v>
      </c>
      <c r="E24" s="6">
        <v>0</v>
      </c>
      <c r="F24" s="6">
        <v>0</v>
      </c>
      <c r="G24" s="6">
        <v>0</v>
      </c>
      <c r="H24" s="19">
        <v>269700</v>
      </c>
    </row>
    <row r="25" spans="2:8" ht="20" customHeight="1" x14ac:dyDescent="0.35">
      <c r="B25" s="11" t="s">
        <v>97</v>
      </c>
      <c r="C25" s="19">
        <v>110000</v>
      </c>
      <c r="D25" s="19">
        <v>32000</v>
      </c>
      <c r="E25" s="19">
        <v>177000</v>
      </c>
      <c r="F25" s="19">
        <v>64000</v>
      </c>
      <c r="G25" s="19">
        <v>77000</v>
      </c>
      <c r="H25" s="19">
        <v>460000</v>
      </c>
    </row>
    <row r="26" spans="2:8" ht="20" customHeight="1" x14ac:dyDescent="0.35">
      <c r="B26" s="11" t="s">
        <v>183</v>
      </c>
      <c r="C26" s="19">
        <v>94000</v>
      </c>
      <c r="D26" s="19">
        <v>227600</v>
      </c>
      <c r="E26" s="19">
        <v>56500</v>
      </c>
      <c r="F26" s="19">
        <v>301800</v>
      </c>
      <c r="G26" s="19">
        <v>100000</v>
      </c>
      <c r="H26" s="19">
        <v>779900</v>
      </c>
    </row>
    <row r="27" spans="2:8" ht="20" customHeight="1" x14ac:dyDescent="0.35">
      <c r="B27" s="11" t="s">
        <v>242</v>
      </c>
      <c r="C27" s="19">
        <v>116000</v>
      </c>
      <c r="D27" s="19">
        <v>194400</v>
      </c>
      <c r="E27" s="19">
        <v>166000</v>
      </c>
      <c r="F27" s="19">
        <v>183000</v>
      </c>
      <c r="G27" s="19">
        <v>119000</v>
      </c>
      <c r="H27" s="19">
        <v>778400</v>
      </c>
    </row>
    <row r="28" spans="2:8" ht="20" customHeight="1" x14ac:dyDescent="0.35">
      <c r="B28" s="11" t="s">
        <v>302</v>
      </c>
      <c r="C28" s="19">
        <v>100000</v>
      </c>
      <c r="D28" s="19">
        <v>52500</v>
      </c>
      <c r="E28" s="19">
        <v>93050</v>
      </c>
      <c r="F28" s="19">
        <v>206700</v>
      </c>
      <c r="G28" s="19">
        <v>102000</v>
      </c>
      <c r="H28" s="19">
        <v>554250</v>
      </c>
    </row>
    <row r="29" spans="2:8" ht="20" customHeight="1" x14ac:dyDescent="0.35">
      <c r="B29" s="11" t="s">
        <v>355</v>
      </c>
      <c r="C29" s="19">
        <v>24000</v>
      </c>
      <c r="D29" s="6">
        <v>0</v>
      </c>
      <c r="E29" s="6">
        <v>0</v>
      </c>
      <c r="F29" s="19">
        <v>47900</v>
      </c>
      <c r="G29" s="19">
        <v>21000</v>
      </c>
      <c r="H29" s="19">
        <v>92900</v>
      </c>
    </row>
    <row r="30" spans="2:8" ht="20" customHeight="1" x14ac:dyDescent="0.35">
      <c r="B30" s="11" t="s">
        <v>372</v>
      </c>
      <c r="C30" s="19">
        <v>28000</v>
      </c>
      <c r="D30" s="6">
        <v>0</v>
      </c>
      <c r="E30" s="6">
        <v>0</v>
      </c>
      <c r="F30" s="19">
        <v>101500</v>
      </c>
      <c r="G30" s="19">
        <v>28000</v>
      </c>
      <c r="H30" s="19">
        <v>157500</v>
      </c>
    </row>
    <row r="31" spans="2:8" ht="20" customHeight="1" x14ac:dyDescent="0.35">
      <c r="B31" s="11" t="s">
        <v>385</v>
      </c>
      <c r="C31" s="19">
        <v>68000</v>
      </c>
      <c r="D31" s="19">
        <v>12000</v>
      </c>
      <c r="E31" s="19">
        <v>13700</v>
      </c>
      <c r="F31" s="19">
        <v>110600</v>
      </c>
      <c r="G31" s="19">
        <v>59000</v>
      </c>
      <c r="H31" s="19">
        <v>263300</v>
      </c>
    </row>
    <row r="32" spans="2:8" ht="20" customHeight="1" x14ac:dyDescent="0.35">
      <c r="B32" s="11" t="s">
        <v>442</v>
      </c>
      <c r="C32" s="19">
        <v>18000</v>
      </c>
      <c r="D32" s="6">
        <v>0</v>
      </c>
      <c r="E32" s="6">
        <v>0</v>
      </c>
      <c r="F32" s="19">
        <v>6000</v>
      </c>
      <c r="G32" s="19">
        <v>5000</v>
      </c>
      <c r="H32" s="19">
        <v>29000</v>
      </c>
    </row>
    <row r="33" spans="2:8" ht="20" customHeight="1" x14ac:dyDescent="0.35">
      <c r="B33" s="11" t="s">
        <v>463</v>
      </c>
      <c r="C33" s="19">
        <v>28000</v>
      </c>
      <c r="D33" s="6">
        <v>0</v>
      </c>
      <c r="E33" s="6">
        <v>0</v>
      </c>
      <c r="F33" s="6">
        <v>0</v>
      </c>
      <c r="G33" s="6">
        <v>0</v>
      </c>
      <c r="H33" s="19">
        <v>28000</v>
      </c>
    </row>
    <row r="34" spans="2:8" ht="20" customHeight="1" x14ac:dyDescent="0.35">
      <c r="B34" s="11" t="s">
        <v>478</v>
      </c>
      <c r="C34" s="19">
        <v>12000</v>
      </c>
      <c r="D34" s="6">
        <v>0</v>
      </c>
      <c r="E34" s="6">
        <v>0</v>
      </c>
      <c r="F34" s="6">
        <v>0</v>
      </c>
      <c r="G34" s="6">
        <v>0</v>
      </c>
      <c r="H34" s="19">
        <v>12000</v>
      </c>
    </row>
    <row r="35" spans="2:8" ht="20" customHeight="1" x14ac:dyDescent="0.35">
      <c r="B35" s="11" t="s">
        <v>483</v>
      </c>
      <c r="C35" s="6">
        <v>0</v>
      </c>
      <c r="D35" s="6">
        <v>0</v>
      </c>
      <c r="E35" s="6">
        <v>0</v>
      </c>
      <c r="F35" s="6">
        <v>0</v>
      </c>
      <c r="G35" s="19">
        <v>3000</v>
      </c>
      <c r="H35" s="19">
        <v>3000</v>
      </c>
    </row>
    <row r="36" spans="2:8" ht="20" customHeight="1" x14ac:dyDescent="0.35">
      <c r="B36" s="11" t="s">
        <v>768</v>
      </c>
      <c r="C36" s="21">
        <v>744500</v>
      </c>
      <c r="D36" s="21">
        <v>1701120</v>
      </c>
      <c r="E36" s="21">
        <v>506250</v>
      </c>
      <c r="F36" s="21">
        <v>1021500</v>
      </c>
      <c r="G36" s="21">
        <v>514000</v>
      </c>
      <c r="H36" s="21">
        <v>4487370</v>
      </c>
    </row>
    <row r="37" spans="2:8" ht="20" customHeight="1" x14ac:dyDescent="0.35"/>
    <row r="38" spans="2:8" ht="22" customHeight="1" x14ac:dyDescent="0.35">
      <c r="B38" s="15" t="s">
        <v>893</v>
      </c>
    </row>
    <row r="39" spans="2:8" ht="20" customHeight="1" x14ac:dyDescent="0.35">
      <c r="B39" s="6" t="s">
        <v>6</v>
      </c>
      <c r="C39" s="6" t="s">
        <v>894</v>
      </c>
    </row>
    <row r="40" spans="2:8" ht="20" customHeight="1" x14ac:dyDescent="0.35">
      <c r="B40" s="11" t="s">
        <v>895</v>
      </c>
      <c r="C40" s="6" t="s">
        <v>754</v>
      </c>
    </row>
    <row r="41" spans="2:8" ht="20" customHeight="1" x14ac:dyDescent="0.35">
      <c r="B41" s="11" t="s">
        <v>896</v>
      </c>
      <c r="C41" s="6" t="s">
        <v>755</v>
      </c>
    </row>
    <row r="42" spans="2:8" ht="20" customHeight="1" x14ac:dyDescent="0.35">
      <c r="B42" s="11" t="s">
        <v>897</v>
      </c>
      <c r="C42" s="6" t="s">
        <v>756</v>
      </c>
    </row>
    <row r="43" spans="2:8" ht="20" customHeight="1" x14ac:dyDescent="0.35">
      <c r="B43" s="11" t="s">
        <v>898</v>
      </c>
      <c r="C43" s="6" t="s">
        <v>755</v>
      </c>
    </row>
    <row r="44" spans="2:8" ht="20" customHeight="1" x14ac:dyDescent="0.35">
      <c r="B44" s="11" t="s">
        <v>105</v>
      </c>
      <c r="C44" s="6" t="s">
        <v>757</v>
      </c>
    </row>
  </sheetData>
  <mergeCells count="1">
    <mergeCell ref="B1:H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9"/>
  <sheetViews>
    <sheetView workbookViewId="0">
      <selection sqref="A1:A1048576"/>
    </sheetView>
  </sheetViews>
  <sheetFormatPr defaultRowHeight="20" customHeight="1" x14ac:dyDescent="0.35"/>
  <cols>
    <col min="1" max="1" width="2.6328125" style="34" customWidth="1"/>
    <col min="2" max="2" width="32.08984375" style="6" customWidth="1"/>
    <col min="3" max="3" width="36.7265625" style="6" customWidth="1"/>
  </cols>
  <sheetData>
    <row r="1" spans="2:3" ht="45" customHeight="1" x14ac:dyDescent="0.35">
      <c r="B1" s="57" t="s">
        <v>1006</v>
      </c>
      <c r="C1" s="58"/>
    </row>
    <row r="3" spans="2:3" ht="22" customHeight="1" x14ac:dyDescent="0.35">
      <c r="B3" s="15" t="s">
        <v>927</v>
      </c>
      <c r="C3" s="16" t="s">
        <v>928</v>
      </c>
    </row>
    <row r="4" spans="2:3" ht="20" customHeight="1" x14ac:dyDescent="0.35">
      <c r="B4" s="11" t="s">
        <v>900</v>
      </c>
      <c r="C4" s="16" t="s">
        <v>929</v>
      </c>
    </row>
    <row r="5" spans="2:3" ht="20" customHeight="1" x14ac:dyDescent="0.35">
      <c r="B5" s="11" t="s">
        <v>930</v>
      </c>
      <c r="C5" s="16" t="s">
        <v>931</v>
      </c>
    </row>
    <row r="6" spans="2:3" ht="20" customHeight="1" x14ac:dyDescent="0.35">
      <c r="B6" s="11" t="s">
        <v>932</v>
      </c>
      <c r="C6" s="16" t="s">
        <v>933</v>
      </c>
    </row>
    <row r="7" spans="2:3" ht="20" customHeight="1" x14ac:dyDescent="0.35">
      <c r="B7" s="11" t="s">
        <v>901</v>
      </c>
      <c r="C7" s="16" t="s">
        <v>934</v>
      </c>
    </row>
    <row r="8" spans="2:3" ht="20" customHeight="1" x14ac:dyDescent="0.35">
      <c r="B8" s="11" t="s">
        <v>902</v>
      </c>
      <c r="C8" s="16" t="s">
        <v>935</v>
      </c>
    </row>
    <row r="9" spans="2:3" ht="20" customHeight="1" x14ac:dyDescent="0.35">
      <c r="B9" s="11" t="s">
        <v>936</v>
      </c>
      <c r="C9" s="16" t="s">
        <v>937</v>
      </c>
    </row>
    <row r="10" spans="2:3" ht="20" customHeight="1" x14ac:dyDescent="0.35">
      <c r="B10" s="11" t="s">
        <v>903</v>
      </c>
      <c r="C10" s="16" t="s">
        <v>938</v>
      </c>
    </row>
    <row r="11" spans="2:3" ht="20" customHeight="1" x14ac:dyDescent="0.35">
      <c r="B11" s="11" t="s">
        <v>904</v>
      </c>
      <c r="C11" s="16" t="s">
        <v>939</v>
      </c>
    </row>
    <row r="12" spans="2:3" ht="20" customHeight="1" x14ac:dyDescent="0.35">
      <c r="B12" s="11" t="s">
        <v>905</v>
      </c>
      <c r="C12" s="16" t="s">
        <v>940</v>
      </c>
    </row>
    <row r="13" spans="2:3" ht="20" customHeight="1" x14ac:dyDescent="0.35">
      <c r="B13" s="11" t="s">
        <v>906</v>
      </c>
      <c r="C13" s="16" t="s">
        <v>941</v>
      </c>
    </row>
    <row r="14" spans="2:3" ht="20" customHeight="1" x14ac:dyDescent="0.35">
      <c r="B14" s="11" t="s">
        <v>907</v>
      </c>
      <c r="C14" s="16" t="s">
        <v>860</v>
      </c>
    </row>
    <row r="15" spans="2:3" ht="20" customHeight="1" x14ac:dyDescent="0.35">
      <c r="B15" s="11" t="s">
        <v>942</v>
      </c>
      <c r="C15" s="16" t="s">
        <v>943</v>
      </c>
    </row>
    <row r="16" spans="2:3" ht="20" customHeight="1" x14ac:dyDescent="0.35">
      <c r="B16" s="11" t="s">
        <v>908</v>
      </c>
      <c r="C16" s="16" t="s">
        <v>944</v>
      </c>
    </row>
    <row r="17" spans="2:3" ht="20" customHeight="1" x14ac:dyDescent="0.35">
      <c r="B17" s="11" t="s">
        <v>945</v>
      </c>
      <c r="C17" s="16" t="s">
        <v>946</v>
      </c>
    </row>
    <row r="18" spans="2:3" ht="20" customHeight="1" x14ac:dyDescent="0.35">
      <c r="B18" s="11" t="s">
        <v>909</v>
      </c>
      <c r="C18" s="16" t="s">
        <v>947</v>
      </c>
    </row>
    <row r="19" spans="2:3" ht="20" customHeight="1" x14ac:dyDescent="0.35">
      <c r="B19" s="11" t="s">
        <v>910</v>
      </c>
      <c r="C19" s="16" t="s">
        <v>948</v>
      </c>
    </row>
    <row r="20" spans="2:3" ht="20" customHeight="1" x14ac:dyDescent="0.35">
      <c r="B20" s="11" t="s">
        <v>949</v>
      </c>
      <c r="C20" s="16" t="s">
        <v>774</v>
      </c>
    </row>
    <row r="21" spans="2:3" ht="20" customHeight="1" x14ac:dyDescent="0.35">
      <c r="B21" s="11" t="s">
        <v>950</v>
      </c>
      <c r="C21" s="16" t="s">
        <v>775</v>
      </c>
    </row>
    <row r="22" spans="2:3" ht="20" customHeight="1" x14ac:dyDescent="0.35">
      <c r="B22" s="11" t="s">
        <v>951</v>
      </c>
      <c r="C22" s="16" t="s">
        <v>772</v>
      </c>
    </row>
    <row r="23" spans="2:3" ht="20" customHeight="1" x14ac:dyDescent="0.35">
      <c r="B23" s="11" t="s">
        <v>952</v>
      </c>
      <c r="C23" s="16" t="s">
        <v>773</v>
      </c>
    </row>
    <row r="24" spans="2:3" ht="20" customHeight="1" x14ac:dyDescent="0.35">
      <c r="B24" s="11" t="s">
        <v>735</v>
      </c>
      <c r="C24" s="16" t="s">
        <v>770</v>
      </c>
    </row>
    <row r="25" spans="2:3" ht="20" customHeight="1" x14ac:dyDescent="0.35">
      <c r="B25" s="11" t="s">
        <v>736</v>
      </c>
      <c r="C25" s="16" t="s">
        <v>771</v>
      </c>
    </row>
    <row r="26" spans="2:3" ht="20" customHeight="1" x14ac:dyDescent="0.35">
      <c r="B26" s="11" t="s">
        <v>911</v>
      </c>
      <c r="C26" s="16" t="s">
        <v>912</v>
      </c>
    </row>
    <row r="27" spans="2:3" ht="20" customHeight="1" x14ac:dyDescent="0.35">
      <c r="B27" s="11" t="s">
        <v>913</v>
      </c>
      <c r="C27" s="16" t="s">
        <v>912</v>
      </c>
    </row>
    <row r="28" spans="2:3" ht="20" customHeight="1" x14ac:dyDescent="0.35">
      <c r="B28" s="11" t="s">
        <v>914</v>
      </c>
      <c r="C28" s="16" t="s">
        <v>868</v>
      </c>
    </row>
    <row r="29" spans="2:3" ht="20" customHeight="1" x14ac:dyDescent="0.35">
      <c r="B29" s="11" t="s">
        <v>915</v>
      </c>
      <c r="C29" s="16" t="s">
        <v>871</v>
      </c>
    </row>
    <row r="30" spans="2:3" ht="20" customHeight="1" x14ac:dyDescent="0.35">
      <c r="B30" s="11" t="s">
        <v>953</v>
      </c>
      <c r="C30" s="16" t="s">
        <v>954</v>
      </c>
    </row>
    <row r="31" spans="2:3" ht="20" customHeight="1" x14ac:dyDescent="0.35">
      <c r="B31" s="11" t="s">
        <v>916</v>
      </c>
      <c r="C31" s="16" t="s">
        <v>917</v>
      </c>
    </row>
    <row r="32" spans="2:3" ht="20" customHeight="1" x14ac:dyDescent="0.35">
      <c r="B32" s="11" t="s">
        <v>27</v>
      </c>
      <c r="C32" s="16" t="s">
        <v>923</v>
      </c>
    </row>
    <row r="33" spans="2:3" ht="20" customHeight="1" x14ac:dyDescent="0.35">
      <c r="B33" s="11" t="s">
        <v>882</v>
      </c>
      <c r="C33" s="16" t="s">
        <v>955</v>
      </c>
    </row>
    <row r="34" spans="2:3" ht="20" customHeight="1" x14ac:dyDescent="0.35">
      <c r="B34" s="11" t="s">
        <v>885</v>
      </c>
      <c r="C34" s="16" t="s">
        <v>956</v>
      </c>
    </row>
    <row r="35" spans="2:3" ht="20" customHeight="1" x14ac:dyDescent="0.35">
      <c r="B35" s="11" t="s">
        <v>883</v>
      </c>
      <c r="C35" s="16" t="s">
        <v>957</v>
      </c>
    </row>
    <row r="36" spans="2:3" ht="20" customHeight="1" x14ac:dyDescent="0.35">
      <c r="B36" s="11" t="s">
        <v>884</v>
      </c>
      <c r="C36" s="16" t="s">
        <v>958</v>
      </c>
    </row>
    <row r="37" spans="2:3" ht="20" customHeight="1" x14ac:dyDescent="0.35">
      <c r="B37" s="11" t="s">
        <v>918</v>
      </c>
      <c r="C37" s="16" t="s">
        <v>959</v>
      </c>
    </row>
    <row r="38" spans="2:3" ht="20" customHeight="1" x14ac:dyDescent="0.35">
      <c r="B38" s="11" t="s">
        <v>960</v>
      </c>
      <c r="C38" s="16" t="s">
        <v>961</v>
      </c>
    </row>
    <row r="39" spans="2:3" ht="20" customHeight="1" x14ac:dyDescent="0.35">
      <c r="B39" s="11" t="s">
        <v>962</v>
      </c>
      <c r="C39" s="16" t="s">
        <v>963</v>
      </c>
    </row>
    <row r="40" spans="2:3" ht="20" customHeight="1" x14ac:dyDescent="0.35">
      <c r="B40" s="11" t="s">
        <v>964</v>
      </c>
      <c r="C40" s="26">
        <v>0.16600000000000001</v>
      </c>
    </row>
    <row r="41" spans="2:3" ht="20" customHeight="1" x14ac:dyDescent="0.35">
      <c r="B41" s="11" t="s">
        <v>965</v>
      </c>
      <c r="C41" s="26">
        <v>0.379</v>
      </c>
    </row>
    <row r="42" spans="2:3" ht="20" customHeight="1" x14ac:dyDescent="0.35">
      <c r="B42" s="11" t="s">
        <v>966</v>
      </c>
      <c r="C42" s="26">
        <v>0.34100000000000003</v>
      </c>
    </row>
    <row r="43" spans="2:3" ht="20" customHeight="1" x14ac:dyDescent="0.35">
      <c r="B43" s="11" t="s">
        <v>967</v>
      </c>
      <c r="C43" s="26">
        <v>0.115</v>
      </c>
    </row>
    <row r="44" spans="2:3" ht="20" customHeight="1" x14ac:dyDescent="0.35">
      <c r="B44" s="11" t="s">
        <v>968</v>
      </c>
      <c r="C44" s="16" t="s">
        <v>969</v>
      </c>
    </row>
    <row r="45" spans="2:3" ht="20" customHeight="1" x14ac:dyDescent="0.35">
      <c r="B45" s="11" t="s">
        <v>970</v>
      </c>
      <c r="C45" s="16" t="s">
        <v>971</v>
      </c>
    </row>
    <row r="46" spans="2:3" ht="20" customHeight="1" x14ac:dyDescent="0.35">
      <c r="B46" s="11" t="s">
        <v>972</v>
      </c>
      <c r="C46" s="16" t="s">
        <v>973</v>
      </c>
    </row>
    <row r="47" spans="2:3" ht="20" customHeight="1" x14ac:dyDescent="0.35">
      <c r="B47" s="11" t="s">
        <v>919</v>
      </c>
      <c r="C47" s="16" t="s">
        <v>974</v>
      </c>
    </row>
    <row r="48" spans="2:3" ht="20" customHeight="1" x14ac:dyDescent="0.35">
      <c r="B48" s="11" t="s">
        <v>975</v>
      </c>
      <c r="C48" s="16" t="s">
        <v>976</v>
      </c>
    </row>
    <row r="49" spans="2:3" ht="20" customHeight="1" x14ac:dyDescent="0.35">
      <c r="B49" s="11" t="s">
        <v>977</v>
      </c>
      <c r="C49" s="16" t="s">
        <v>978</v>
      </c>
    </row>
    <row r="50" spans="2:3" ht="20" customHeight="1" x14ac:dyDescent="0.35">
      <c r="B50" s="11" t="s">
        <v>920</v>
      </c>
      <c r="C50" s="16" t="s">
        <v>921</v>
      </c>
    </row>
    <row r="51" spans="2:3" ht="20" customHeight="1" x14ac:dyDescent="0.35">
      <c r="B51" s="11" t="s">
        <v>922</v>
      </c>
      <c r="C51" s="16" t="s">
        <v>923</v>
      </c>
    </row>
    <row r="52" spans="2:3" ht="20" customHeight="1" x14ac:dyDescent="0.35">
      <c r="B52" s="11" t="s">
        <v>924</v>
      </c>
      <c r="C52" s="16" t="s">
        <v>925</v>
      </c>
    </row>
    <row r="53" spans="2:3" ht="20" customHeight="1" x14ac:dyDescent="0.35">
      <c r="B53" s="11" t="s">
        <v>979</v>
      </c>
      <c r="C53" s="16" t="s">
        <v>980</v>
      </c>
    </row>
    <row r="54" spans="2:3" ht="20" customHeight="1" x14ac:dyDescent="0.35">
      <c r="B54" s="11" t="s">
        <v>981</v>
      </c>
      <c r="C54" s="16" t="s">
        <v>982</v>
      </c>
    </row>
    <row r="55" spans="2:3" ht="20" customHeight="1" x14ac:dyDescent="0.35">
      <c r="B55" s="11" t="s">
        <v>983</v>
      </c>
      <c r="C55" s="16" t="s">
        <v>984</v>
      </c>
    </row>
    <row r="56" spans="2:3" ht="20" customHeight="1" x14ac:dyDescent="0.35">
      <c r="B56" s="11" t="s">
        <v>985</v>
      </c>
      <c r="C56" s="16" t="s">
        <v>986</v>
      </c>
    </row>
    <row r="57" spans="2:3" ht="20" customHeight="1" x14ac:dyDescent="0.35">
      <c r="B57" s="11" t="s">
        <v>987</v>
      </c>
      <c r="C57" s="16" t="s">
        <v>988</v>
      </c>
    </row>
    <row r="58" spans="2:3" ht="20" customHeight="1" x14ac:dyDescent="0.35">
      <c r="B58" s="11" t="s">
        <v>989</v>
      </c>
      <c r="C58" s="16" t="s">
        <v>990</v>
      </c>
    </row>
    <row r="59" spans="2:3" ht="20" customHeight="1" x14ac:dyDescent="0.35">
      <c r="B59" s="11" t="s">
        <v>991</v>
      </c>
      <c r="C59" s="16" t="s">
        <v>992</v>
      </c>
    </row>
    <row r="60" spans="2:3" ht="20" customHeight="1" x14ac:dyDescent="0.35">
      <c r="B60" s="11" t="s">
        <v>908</v>
      </c>
      <c r="C60" s="16" t="s">
        <v>993</v>
      </c>
    </row>
    <row r="61" spans="2:3" ht="20" customHeight="1" x14ac:dyDescent="0.35">
      <c r="B61" s="11" t="s">
        <v>994</v>
      </c>
      <c r="C61" s="16" t="s">
        <v>995</v>
      </c>
    </row>
    <row r="62" spans="2:3" ht="20" customHeight="1" x14ac:dyDescent="0.35">
      <c r="B62" s="11" t="s">
        <v>682</v>
      </c>
      <c r="C62" s="16" t="s">
        <v>996</v>
      </c>
    </row>
    <row r="63" spans="2:3" ht="20" customHeight="1" x14ac:dyDescent="0.35">
      <c r="B63" s="11" t="s">
        <v>997</v>
      </c>
      <c r="C63" s="27">
        <v>46049</v>
      </c>
    </row>
    <row r="64" spans="2:3" ht="20" customHeight="1" x14ac:dyDescent="0.35">
      <c r="B64" s="11" t="s">
        <v>998</v>
      </c>
      <c r="C64" s="27">
        <v>46142</v>
      </c>
    </row>
    <row r="65" spans="2:3" ht="20" customHeight="1" x14ac:dyDescent="0.35">
      <c r="B65" s="11" t="s">
        <v>999</v>
      </c>
      <c r="C65" s="16" t="s">
        <v>580</v>
      </c>
    </row>
    <row r="66" spans="2:3" ht="20" customHeight="1" x14ac:dyDescent="0.35">
      <c r="B66" s="11" t="s">
        <v>1000</v>
      </c>
      <c r="C66" s="16" t="s">
        <v>1001</v>
      </c>
    </row>
    <row r="67" spans="2:3" ht="20" customHeight="1" x14ac:dyDescent="0.35">
      <c r="B67" s="11" t="s">
        <v>1002</v>
      </c>
      <c r="C67" s="16" t="s">
        <v>1003</v>
      </c>
    </row>
    <row r="68" spans="2:3" ht="20" customHeight="1" x14ac:dyDescent="0.35">
      <c r="B68" s="11" t="s">
        <v>926</v>
      </c>
      <c r="C68" s="16" t="s">
        <v>1004</v>
      </c>
    </row>
    <row r="69" spans="2:3" ht="20" customHeight="1" x14ac:dyDescent="0.35">
      <c r="B69" s="11" t="s">
        <v>1005</v>
      </c>
      <c r="C69" s="16" t="s">
        <v>22</v>
      </c>
    </row>
  </sheetData>
  <mergeCells count="1">
    <mergeCell ref="B1:C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tabSelected="1" workbookViewId="0">
      <selection activeCell="J4" sqref="J4"/>
    </sheetView>
  </sheetViews>
  <sheetFormatPr defaultRowHeight="14.5" x14ac:dyDescent="0.35"/>
  <cols>
    <col min="1" max="1" width="2.6328125" style="34" customWidth="1"/>
    <col min="2" max="2" width="32.08984375" customWidth="1"/>
    <col min="3" max="3" width="13.1796875" customWidth="1"/>
    <col min="4" max="4" width="16.1796875" customWidth="1"/>
    <col min="5" max="5" width="17.26953125" customWidth="1"/>
    <col min="6" max="6" width="19.54296875" customWidth="1"/>
  </cols>
  <sheetData>
    <row r="1" spans="2:7" ht="45" customHeight="1" x14ac:dyDescent="0.35">
      <c r="B1" s="57" t="s">
        <v>1020</v>
      </c>
      <c r="C1" s="58"/>
      <c r="D1" s="58"/>
      <c r="E1" s="58"/>
      <c r="F1" s="58"/>
      <c r="G1" s="6"/>
    </row>
    <row r="2" spans="2:7" ht="20" customHeight="1" x14ac:dyDescent="0.35">
      <c r="B2" s="6"/>
      <c r="C2" s="6"/>
      <c r="D2" s="6"/>
      <c r="E2" s="6"/>
      <c r="F2" s="6"/>
      <c r="G2" s="6"/>
    </row>
    <row r="3" spans="2:7" ht="20" customHeight="1" x14ac:dyDescent="0.35">
      <c r="B3" s="59" t="s">
        <v>1007</v>
      </c>
      <c r="C3" s="59"/>
      <c r="D3" s="59"/>
      <c r="E3" s="59"/>
      <c r="F3" s="59"/>
      <c r="G3" s="6"/>
    </row>
    <row r="4" spans="2:7" ht="20" customHeight="1" x14ac:dyDescent="0.35">
      <c r="B4" s="59" t="s">
        <v>1008</v>
      </c>
      <c r="C4" s="59"/>
      <c r="D4" s="59"/>
      <c r="E4" s="59"/>
      <c r="F4" s="59"/>
      <c r="G4" s="6"/>
    </row>
    <row r="5" spans="2:7" ht="20" customHeight="1" x14ac:dyDescent="0.35">
      <c r="B5" s="6"/>
      <c r="C5" s="6"/>
      <c r="D5" s="6"/>
      <c r="E5" s="6"/>
      <c r="F5" s="6"/>
      <c r="G5" s="6"/>
    </row>
    <row r="6" spans="2:7" ht="22" customHeight="1" x14ac:dyDescent="0.35">
      <c r="B6" s="15" t="s">
        <v>82</v>
      </c>
      <c r="C6" s="6" t="s">
        <v>7</v>
      </c>
      <c r="D6" s="6" t="s">
        <v>8</v>
      </c>
      <c r="E6" s="6" t="s">
        <v>1009</v>
      </c>
      <c r="F6" s="6" t="s">
        <v>1010</v>
      </c>
      <c r="G6" s="6"/>
    </row>
    <row r="7" spans="2:7" ht="20" customHeight="1" x14ac:dyDescent="0.35">
      <c r="B7" s="11" t="s">
        <v>1011</v>
      </c>
      <c r="C7" s="6">
        <v>909</v>
      </c>
      <c r="D7" s="6" t="s">
        <v>1012</v>
      </c>
      <c r="E7" s="19">
        <v>12000</v>
      </c>
      <c r="F7" s="19">
        <v>10908000</v>
      </c>
      <c r="G7" s="6"/>
    </row>
    <row r="8" spans="2:7" ht="20" customHeight="1" x14ac:dyDescent="0.35">
      <c r="B8" s="11" t="s">
        <v>1013</v>
      </c>
      <c r="C8" s="6">
        <v>748</v>
      </c>
      <c r="D8" s="6" t="s">
        <v>1014</v>
      </c>
      <c r="E8" s="19">
        <v>4500</v>
      </c>
      <c r="F8" s="19">
        <v>3366000</v>
      </c>
      <c r="G8" s="6"/>
    </row>
    <row r="9" spans="2:7" ht="20" customHeight="1" x14ac:dyDescent="0.35">
      <c r="B9" s="11" t="s">
        <v>1015</v>
      </c>
      <c r="C9" s="6">
        <v>377</v>
      </c>
      <c r="D9" s="6" t="s">
        <v>1014</v>
      </c>
      <c r="E9" s="19">
        <v>6000</v>
      </c>
      <c r="F9" s="19">
        <v>2262000</v>
      </c>
      <c r="G9" s="6"/>
    </row>
    <row r="10" spans="2:7" ht="20" customHeight="1" x14ac:dyDescent="0.35">
      <c r="B10" s="11" t="s">
        <v>1016</v>
      </c>
      <c r="C10" s="6">
        <v>52</v>
      </c>
      <c r="D10" s="6" t="s">
        <v>1014</v>
      </c>
      <c r="E10" s="19">
        <v>12000</v>
      </c>
      <c r="F10" s="19">
        <v>624000</v>
      </c>
      <c r="G10" s="6"/>
    </row>
    <row r="11" spans="2:7" ht="20" customHeight="1" x14ac:dyDescent="0.35">
      <c r="B11" s="11" t="s">
        <v>153</v>
      </c>
      <c r="C11" s="6">
        <v>34</v>
      </c>
      <c r="D11" s="6" t="s">
        <v>1017</v>
      </c>
      <c r="E11" s="19">
        <v>100000</v>
      </c>
      <c r="F11" s="19">
        <v>3400000</v>
      </c>
      <c r="G11" s="6"/>
    </row>
    <row r="12" spans="2:7" ht="20" customHeight="1" x14ac:dyDescent="0.35">
      <c r="B12" s="11" t="s">
        <v>1018</v>
      </c>
      <c r="C12" s="6">
        <v>8</v>
      </c>
      <c r="D12" s="6" t="s">
        <v>1017</v>
      </c>
      <c r="E12" s="19">
        <v>80000</v>
      </c>
      <c r="F12" s="19">
        <v>640000</v>
      </c>
      <c r="G12" s="6"/>
    </row>
    <row r="13" spans="2:7" ht="20" customHeight="1" x14ac:dyDescent="0.35">
      <c r="B13" s="11" t="s">
        <v>459</v>
      </c>
      <c r="C13" s="6">
        <v>67</v>
      </c>
      <c r="D13" s="6" t="s">
        <v>1017</v>
      </c>
      <c r="E13" s="19">
        <v>45000</v>
      </c>
      <c r="F13" s="19">
        <v>3015000</v>
      </c>
      <c r="G13" s="6"/>
    </row>
    <row r="14" spans="2:7" ht="20" customHeight="1" x14ac:dyDescent="0.35">
      <c r="B14" s="11" t="s">
        <v>469</v>
      </c>
      <c r="C14" s="6">
        <v>9</v>
      </c>
      <c r="D14" s="6" t="s">
        <v>1017</v>
      </c>
      <c r="E14" s="19">
        <v>80000</v>
      </c>
      <c r="F14" s="19">
        <v>720000</v>
      </c>
      <c r="G14" s="6"/>
    </row>
    <row r="15" spans="2:7" ht="20" customHeight="1" x14ac:dyDescent="0.35">
      <c r="B15" s="11" t="s">
        <v>1019</v>
      </c>
      <c r="D15" s="6"/>
      <c r="E15" s="6"/>
      <c r="F15" s="21">
        <v>24935000</v>
      </c>
      <c r="G15" s="6"/>
    </row>
    <row r="16" spans="2:7" ht="20" customHeight="1" x14ac:dyDescent="0.35">
      <c r="B16" s="6"/>
      <c r="C16" s="6"/>
      <c r="D16" s="6"/>
      <c r="E16" s="6"/>
      <c r="F16" s="6"/>
      <c r="G16" s="6"/>
    </row>
    <row r="17" spans="2:7" ht="20" customHeight="1" x14ac:dyDescent="0.35">
      <c r="B17" s="6"/>
      <c r="C17" s="6"/>
      <c r="D17" s="6"/>
      <c r="E17" s="6"/>
      <c r="F17" s="6"/>
      <c r="G17" s="6"/>
    </row>
  </sheetData>
  <mergeCells count="3">
    <mergeCell ref="B1:F1"/>
    <mergeCell ref="B3:F3"/>
    <mergeCell ref="B4:F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7"/>
  <sheetViews>
    <sheetView workbookViewId="0">
      <selection activeCell="B1" sqref="B1:F1"/>
    </sheetView>
  </sheetViews>
  <sheetFormatPr defaultRowHeight="14.5" x14ac:dyDescent="0.35"/>
  <cols>
    <col min="1" max="1" width="2.6328125" customWidth="1"/>
    <col min="2" max="2" width="12.90625" style="6" customWidth="1"/>
    <col min="3" max="3" width="42.81640625" style="6" customWidth="1"/>
    <col min="4" max="4" width="54.90625" style="6" customWidth="1"/>
    <col min="5" max="5" width="52.08984375" style="6" customWidth="1"/>
    <col min="6" max="6" width="64.6328125" style="6" customWidth="1"/>
  </cols>
  <sheetData>
    <row r="1" spans="2:6" ht="45" customHeight="1" x14ac:dyDescent="0.35">
      <c r="B1" s="57" t="s">
        <v>1037</v>
      </c>
      <c r="C1" s="58"/>
      <c r="D1" s="58"/>
      <c r="E1" s="58"/>
      <c r="F1" s="58"/>
    </row>
    <row r="2" spans="2:6" x14ac:dyDescent="0.35">
      <c r="F2" s="10"/>
    </row>
    <row r="3" spans="2:6" ht="22" customHeight="1" x14ac:dyDescent="0.35">
      <c r="B3" s="12" t="s">
        <v>1078</v>
      </c>
      <c r="C3" s="12" t="s">
        <v>1079</v>
      </c>
      <c r="D3" s="12" t="s">
        <v>1080</v>
      </c>
      <c r="E3" s="12" t="s">
        <v>1081</v>
      </c>
      <c r="F3" s="45" t="s">
        <v>1082</v>
      </c>
    </row>
    <row r="4" spans="2:6" ht="65" x14ac:dyDescent="0.35">
      <c r="B4" s="12">
        <v>1</v>
      </c>
      <c r="C4" s="16" t="s">
        <v>1025</v>
      </c>
      <c r="D4" s="17" t="s">
        <v>1021</v>
      </c>
      <c r="E4" s="17" t="s">
        <v>1026</v>
      </c>
      <c r="F4" s="17" t="s">
        <v>1027</v>
      </c>
    </row>
    <row r="5" spans="2:6" ht="52" x14ac:dyDescent="0.35">
      <c r="B5" s="12">
        <v>2</v>
      </c>
      <c r="C5" s="16" t="s">
        <v>1028</v>
      </c>
      <c r="D5" s="17" t="s">
        <v>1022</v>
      </c>
      <c r="E5" s="17" t="s">
        <v>1029</v>
      </c>
      <c r="F5" s="17" t="s">
        <v>1030</v>
      </c>
    </row>
    <row r="6" spans="2:6" ht="52" x14ac:dyDescent="0.35">
      <c r="B6" s="12">
        <v>3</v>
      </c>
      <c r="C6" s="16" t="s">
        <v>1031</v>
      </c>
      <c r="D6" s="17" t="s">
        <v>1023</v>
      </c>
      <c r="E6" s="17" t="s">
        <v>1032</v>
      </c>
      <c r="F6" s="17" t="s">
        <v>1033</v>
      </c>
    </row>
    <row r="7" spans="2:6" ht="52" x14ac:dyDescent="0.35">
      <c r="B7" s="12">
        <v>4</v>
      </c>
      <c r="C7" s="16" t="s">
        <v>1034</v>
      </c>
      <c r="D7" s="17" t="s">
        <v>1024</v>
      </c>
      <c r="E7" s="17" t="s">
        <v>1035</v>
      </c>
      <c r="F7" s="17" t="s">
        <v>1036</v>
      </c>
    </row>
  </sheetData>
  <mergeCells count="1">
    <mergeCell ref="B1:F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92"/>
  <sheetViews>
    <sheetView workbookViewId="0">
      <selection activeCell="G6" sqref="G6"/>
    </sheetView>
  </sheetViews>
  <sheetFormatPr defaultRowHeight="14.5" x14ac:dyDescent="0.35"/>
  <cols>
    <col min="2" max="2" width="18.54296875" customWidth="1"/>
    <col min="3" max="3" width="23" customWidth="1"/>
    <col min="4" max="4" width="20.7265625" customWidth="1"/>
    <col min="5" max="5" width="27.81640625" customWidth="1"/>
    <col min="6" max="6" width="26.54296875" customWidth="1"/>
    <col min="7" max="7" width="22.7265625" customWidth="1"/>
  </cols>
  <sheetData>
    <row r="1" spans="2:7" ht="45" customHeight="1" x14ac:dyDescent="0.35">
      <c r="B1" s="57" t="s">
        <v>1094</v>
      </c>
      <c r="C1" s="58"/>
      <c r="D1" s="58"/>
      <c r="E1" s="58"/>
      <c r="F1" s="58"/>
      <c r="G1" s="58"/>
    </row>
    <row r="2" spans="2:7" x14ac:dyDescent="0.35">
      <c r="B2" s="68" t="s">
        <v>1095</v>
      </c>
      <c r="C2" s="68"/>
      <c r="D2" s="68"/>
      <c r="E2" s="68"/>
      <c r="F2" s="68"/>
      <c r="G2" s="68"/>
    </row>
    <row r="5" spans="2:7" ht="18.5" x14ac:dyDescent="0.45">
      <c r="B5" s="60" t="s">
        <v>1087</v>
      </c>
      <c r="C5" s="60"/>
      <c r="D5" s="60"/>
    </row>
    <row r="6" spans="2:7" ht="14.5" customHeight="1" x14ac:dyDescent="0.45">
      <c r="B6" s="60"/>
      <c r="C6" s="60"/>
      <c r="D6" s="60"/>
    </row>
    <row r="7" spans="2:7" ht="18.5" x14ac:dyDescent="0.45">
      <c r="B7" s="46" t="s">
        <v>5</v>
      </c>
      <c r="C7" t="s">
        <v>1088</v>
      </c>
      <c r="D7" s="60"/>
    </row>
    <row r="8" spans="2:7" ht="18.5" x14ac:dyDescent="0.45">
      <c r="B8" s="46" t="s">
        <v>6</v>
      </c>
      <c r="C8" t="s">
        <v>1088</v>
      </c>
      <c r="D8" s="60"/>
    </row>
    <row r="10" spans="2:7" x14ac:dyDescent="0.35">
      <c r="B10" s="63" t="s">
        <v>3</v>
      </c>
      <c r="C10" s="64" t="s">
        <v>1093</v>
      </c>
    </row>
    <row r="11" spans="2:7" x14ac:dyDescent="0.35">
      <c r="B11" s="47" t="s">
        <v>242</v>
      </c>
      <c r="C11" s="66">
        <v>707</v>
      </c>
    </row>
    <row r="12" spans="2:7" x14ac:dyDescent="0.35">
      <c r="B12" s="47" t="s">
        <v>302</v>
      </c>
      <c r="C12" s="66">
        <v>445.3</v>
      </c>
    </row>
    <row r="13" spans="2:7" x14ac:dyDescent="0.35">
      <c r="B13" s="47" t="s">
        <v>355</v>
      </c>
      <c r="C13" s="66">
        <v>47.9</v>
      </c>
    </row>
    <row r="14" spans="2:7" x14ac:dyDescent="0.35">
      <c r="B14" s="47" t="s">
        <v>372</v>
      </c>
      <c r="C14" s="66">
        <v>101.5</v>
      </c>
    </row>
    <row r="15" spans="2:7" x14ac:dyDescent="0.35">
      <c r="B15" s="47" t="s">
        <v>385</v>
      </c>
      <c r="C15" s="66">
        <v>150</v>
      </c>
    </row>
    <row r="16" spans="2:7" x14ac:dyDescent="0.35">
      <c r="B16" s="47" t="s">
        <v>442</v>
      </c>
      <c r="C16" s="66">
        <v>6</v>
      </c>
    </row>
    <row r="17" spans="2:7" x14ac:dyDescent="0.35">
      <c r="B17" s="47" t="s">
        <v>18</v>
      </c>
      <c r="C17" s="66">
        <v>809.4</v>
      </c>
    </row>
    <row r="18" spans="2:7" x14ac:dyDescent="0.35">
      <c r="B18" s="47" t="s">
        <v>51</v>
      </c>
      <c r="C18" s="66">
        <v>238.5</v>
      </c>
    </row>
    <row r="19" spans="2:7" x14ac:dyDescent="0.35">
      <c r="B19" s="47" t="s">
        <v>71</v>
      </c>
      <c r="C19" s="66">
        <v>299</v>
      </c>
    </row>
    <row r="20" spans="2:7" x14ac:dyDescent="0.35">
      <c r="B20" s="47" t="s">
        <v>97</v>
      </c>
      <c r="C20" s="66">
        <v>458</v>
      </c>
    </row>
    <row r="21" spans="2:7" x14ac:dyDescent="0.35">
      <c r="B21" s="47" t="s">
        <v>183</v>
      </c>
      <c r="C21" s="66">
        <v>699.3</v>
      </c>
    </row>
    <row r="22" spans="2:7" x14ac:dyDescent="0.35">
      <c r="B22" s="47" t="s">
        <v>1086</v>
      </c>
      <c r="C22" s="66">
        <v>3961.8999999999996</v>
      </c>
    </row>
    <row r="26" spans="2:7" ht="18.5" x14ac:dyDescent="0.45">
      <c r="B26" s="60" t="s">
        <v>1089</v>
      </c>
    </row>
    <row r="28" spans="2:7" x14ac:dyDescent="0.35">
      <c r="B28" s="46" t="s">
        <v>5</v>
      </c>
      <c r="C28" s="64" t="s">
        <v>20</v>
      </c>
      <c r="D28" s="64" t="s">
        <v>98</v>
      </c>
      <c r="E28" s="64" t="s">
        <v>139</v>
      </c>
      <c r="F28" s="64" t="s">
        <v>890</v>
      </c>
      <c r="G28" s="64" t="s">
        <v>887</v>
      </c>
    </row>
    <row r="29" spans="2:7" x14ac:dyDescent="0.35">
      <c r="B29" s="47" t="s">
        <v>261</v>
      </c>
      <c r="C29" s="66">
        <v>20400</v>
      </c>
      <c r="D29" s="66">
        <v>0</v>
      </c>
      <c r="E29" s="66">
        <v>0</v>
      </c>
      <c r="F29" s="66">
        <v>0</v>
      </c>
      <c r="G29" s="66">
        <v>0</v>
      </c>
    </row>
    <row r="30" spans="2:7" x14ac:dyDescent="0.35">
      <c r="B30" s="47" t="s">
        <v>26</v>
      </c>
      <c r="C30" s="66">
        <v>0</v>
      </c>
      <c r="D30" s="66">
        <v>0</v>
      </c>
      <c r="E30" s="66">
        <v>0</v>
      </c>
      <c r="F30" s="66">
        <v>0</v>
      </c>
      <c r="G30" s="66">
        <v>744500</v>
      </c>
    </row>
    <row r="31" spans="2:7" x14ac:dyDescent="0.35">
      <c r="B31" s="47" t="s">
        <v>65</v>
      </c>
      <c r="C31" s="66">
        <v>0</v>
      </c>
      <c r="D31" s="66">
        <v>506250</v>
      </c>
      <c r="E31" s="66">
        <v>1021500</v>
      </c>
      <c r="F31" s="66">
        <v>514000</v>
      </c>
      <c r="G31" s="66">
        <v>0</v>
      </c>
    </row>
    <row r="32" spans="2:7" x14ac:dyDescent="0.35">
      <c r="B32" s="47" t="s">
        <v>19</v>
      </c>
      <c r="C32" s="66">
        <v>1680720</v>
      </c>
      <c r="D32" s="66">
        <v>0</v>
      </c>
      <c r="E32" s="66">
        <v>0</v>
      </c>
      <c r="F32" s="66">
        <v>0</v>
      </c>
      <c r="G32" s="66">
        <v>0</v>
      </c>
    </row>
    <row r="33" spans="2:7" x14ac:dyDescent="0.35">
      <c r="B33" s="47" t="s">
        <v>1086</v>
      </c>
      <c r="C33" s="66">
        <v>1701120</v>
      </c>
      <c r="D33" s="66">
        <v>506250</v>
      </c>
      <c r="E33" s="66">
        <v>1021500</v>
      </c>
      <c r="F33" s="66">
        <v>514000</v>
      </c>
      <c r="G33" s="66">
        <v>744500</v>
      </c>
    </row>
    <row r="37" spans="2:7" ht="18.5" x14ac:dyDescent="0.45">
      <c r="B37" s="62" t="s">
        <v>1090</v>
      </c>
    </row>
    <row r="39" spans="2:7" x14ac:dyDescent="0.35">
      <c r="B39" s="65" t="s">
        <v>10</v>
      </c>
      <c r="C39" s="64" t="s">
        <v>20</v>
      </c>
      <c r="D39" s="64" t="s">
        <v>98</v>
      </c>
      <c r="E39" s="64" t="s">
        <v>139</v>
      </c>
      <c r="F39" s="64" t="s">
        <v>890</v>
      </c>
      <c r="G39" s="64" t="s">
        <v>887</v>
      </c>
    </row>
    <row r="40" spans="2:7" x14ac:dyDescent="0.35">
      <c r="B40" s="47" t="s">
        <v>86</v>
      </c>
      <c r="C40" s="66">
        <v>0</v>
      </c>
      <c r="D40" s="66">
        <v>0</v>
      </c>
      <c r="E40" s="66">
        <v>0</v>
      </c>
      <c r="F40" s="66">
        <v>0</v>
      </c>
      <c r="G40" s="66">
        <v>0</v>
      </c>
    </row>
    <row r="41" spans="2:7" x14ac:dyDescent="0.35">
      <c r="B41" s="47" t="s">
        <v>460</v>
      </c>
      <c r="C41" s="66">
        <v>0</v>
      </c>
      <c r="D41" s="66">
        <v>0</v>
      </c>
      <c r="E41" s="66">
        <v>0</v>
      </c>
      <c r="F41" s="66">
        <v>0</v>
      </c>
      <c r="G41" s="66">
        <v>40000</v>
      </c>
    </row>
    <row r="42" spans="2:7" x14ac:dyDescent="0.35">
      <c r="B42" s="47" t="s">
        <v>521</v>
      </c>
      <c r="C42" s="66">
        <v>988720</v>
      </c>
      <c r="D42" s="66">
        <v>233500</v>
      </c>
      <c r="E42" s="66">
        <v>428800</v>
      </c>
      <c r="F42" s="66">
        <v>205000</v>
      </c>
      <c r="G42" s="66">
        <v>316500</v>
      </c>
    </row>
    <row r="43" spans="2:7" x14ac:dyDescent="0.35">
      <c r="B43" s="47" t="s">
        <v>522</v>
      </c>
      <c r="C43" s="66">
        <v>712400</v>
      </c>
      <c r="D43" s="66">
        <v>272750</v>
      </c>
      <c r="E43" s="66">
        <v>592700</v>
      </c>
      <c r="F43" s="66">
        <v>309000</v>
      </c>
      <c r="G43" s="66">
        <v>388000</v>
      </c>
    </row>
    <row r="44" spans="2:7" x14ac:dyDescent="0.35">
      <c r="B44" s="47" t="s">
        <v>1086</v>
      </c>
      <c r="C44" s="66">
        <v>1701120</v>
      </c>
      <c r="D44" s="66">
        <v>506250</v>
      </c>
      <c r="E44" s="66">
        <v>1021500</v>
      </c>
      <c r="F44" s="66">
        <v>514000</v>
      </c>
      <c r="G44" s="66">
        <v>744500</v>
      </c>
    </row>
    <row r="48" spans="2:7" ht="18.5" x14ac:dyDescent="0.45">
      <c r="B48" s="60" t="s">
        <v>1091</v>
      </c>
    </row>
    <row r="50" spans="2:4" x14ac:dyDescent="0.35">
      <c r="B50" s="46" t="s">
        <v>82</v>
      </c>
      <c r="C50" s="64" t="s">
        <v>1012</v>
      </c>
    </row>
    <row r="51" spans="2:4" x14ac:dyDescent="0.35">
      <c r="B51" s="47" t="s">
        <v>83</v>
      </c>
      <c r="C51" s="67">
        <v>950</v>
      </c>
    </row>
    <row r="52" spans="2:4" x14ac:dyDescent="0.35">
      <c r="B52" s="47" t="s">
        <v>210</v>
      </c>
      <c r="C52" s="67">
        <v>36</v>
      </c>
    </row>
    <row r="53" spans="2:4" x14ac:dyDescent="0.35">
      <c r="B53" s="47" t="s">
        <v>490</v>
      </c>
      <c r="C53" s="67">
        <v>4</v>
      </c>
    </row>
    <row r="54" spans="2:4" x14ac:dyDescent="0.35">
      <c r="B54" s="47" t="s">
        <v>485</v>
      </c>
      <c r="C54" s="67">
        <v>1</v>
      </c>
    </row>
    <row r="55" spans="2:4" x14ac:dyDescent="0.35">
      <c r="B55" s="47" t="s">
        <v>102</v>
      </c>
      <c r="C55" s="67">
        <v>909</v>
      </c>
    </row>
    <row r="56" spans="2:4" x14ac:dyDescent="0.35">
      <c r="B56" s="47" t="s">
        <v>1086</v>
      </c>
      <c r="C56" s="67">
        <v>1900</v>
      </c>
    </row>
    <row r="60" spans="2:4" ht="18.5" x14ac:dyDescent="0.45">
      <c r="B60" s="60" t="s">
        <v>1092</v>
      </c>
    </row>
    <row r="62" spans="2:4" x14ac:dyDescent="0.35">
      <c r="B62" s="65" t="s">
        <v>3</v>
      </c>
      <c r="C62" s="63" t="s">
        <v>1100</v>
      </c>
    </row>
    <row r="63" spans="2:4" x14ac:dyDescent="0.35">
      <c r="B63" s="47" t="s">
        <v>242</v>
      </c>
      <c r="C63" s="64" t="s">
        <v>1096</v>
      </c>
      <c r="D63" s="67">
        <v>46</v>
      </c>
    </row>
    <row r="64" spans="2:4" x14ac:dyDescent="0.35">
      <c r="B64" s="47"/>
      <c r="C64" s="64" t="s">
        <v>1098</v>
      </c>
      <c r="D64" s="67">
        <v>32</v>
      </c>
    </row>
    <row r="65" spans="2:4" x14ac:dyDescent="0.35">
      <c r="B65" s="47" t="s">
        <v>302</v>
      </c>
      <c r="C65" s="64" t="s">
        <v>1096</v>
      </c>
      <c r="D65" s="67">
        <v>44</v>
      </c>
    </row>
    <row r="66" spans="2:4" x14ac:dyDescent="0.35">
      <c r="B66" s="47"/>
      <c r="C66" s="64" t="s">
        <v>1098</v>
      </c>
      <c r="D66" s="67">
        <v>30</v>
      </c>
    </row>
    <row r="67" spans="2:4" x14ac:dyDescent="0.35">
      <c r="B67" s="47" t="s">
        <v>355</v>
      </c>
      <c r="C67" s="64" t="s">
        <v>1096</v>
      </c>
      <c r="D67" s="67">
        <v>10</v>
      </c>
    </row>
    <row r="68" spans="2:4" x14ac:dyDescent="0.35">
      <c r="B68" s="47"/>
      <c r="C68" s="64" t="s">
        <v>1098</v>
      </c>
      <c r="D68" s="67">
        <v>6</v>
      </c>
    </row>
    <row r="69" spans="2:4" x14ac:dyDescent="0.35">
      <c r="B69" s="47" t="s">
        <v>372</v>
      </c>
      <c r="C69" s="64" t="s">
        <v>1096</v>
      </c>
      <c r="D69" s="67">
        <v>12</v>
      </c>
    </row>
    <row r="70" spans="2:4" x14ac:dyDescent="0.35">
      <c r="B70" s="47"/>
      <c r="C70" s="64" t="s">
        <v>1098</v>
      </c>
      <c r="D70" s="67">
        <v>8</v>
      </c>
    </row>
    <row r="71" spans="2:4" x14ac:dyDescent="0.35">
      <c r="B71" s="47" t="s">
        <v>385</v>
      </c>
      <c r="C71" s="64" t="s">
        <v>1096</v>
      </c>
      <c r="D71" s="67">
        <v>31</v>
      </c>
    </row>
    <row r="72" spans="2:4" x14ac:dyDescent="0.35">
      <c r="B72" s="47"/>
      <c r="C72" s="64" t="s">
        <v>1098</v>
      </c>
      <c r="D72" s="67">
        <v>22</v>
      </c>
    </row>
    <row r="73" spans="2:4" x14ac:dyDescent="0.35">
      <c r="B73" s="47" t="s">
        <v>442</v>
      </c>
      <c r="C73" s="64" t="s">
        <v>1096</v>
      </c>
      <c r="D73" s="67">
        <v>4</v>
      </c>
    </row>
    <row r="74" spans="2:4" x14ac:dyDescent="0.35">
      <c r="B74" s="47"/>
      <c r="C74" s="64" t="s">
        <v>1098</v>
      </c>
      <c r="D74" s="67">
        <v>3</v>
      </c>
    </row>
    <row r="75" spans="2:4" x14ac:dyDescent="0.35">
      <c r="B75" s="47" t="s">
        <v>463</v>
      </c>
      <c r="C75" s="64" t="s">
        <v>1096</v>
      </c>
      <c r="D75" s="67">
        <v>0</v>
      </c>
    </row>
    <row r="76" spans="2:4" x14ac:dyDescent="0.35">
      <c r="B76" s="47"/>
      <c r="C76" s="64" t="s">
        <v>1098</v>
      </c>
      <c r="D76" s="67">
        <v>0</v>
      </c>
    </row>
    <row r="77" spans="2:4" x14ac:dyDescent="0.35">
      <c r="B77" s="47" t="s">
        <v>478</v>
      </c>
      <c r="C77" s="64" t="s">
        <v>1096</v>
      </c>
      <c r="D77" s="67">
        <v>0</v>
      </c>
    </row>
    <row r="78" spans="2:4" x14ac:dyDescent="0.35">
      <c r="B78" s="47"/>
      <c r="C78" s="64" t="s">
        <v>1098</v>
      </c>
      <c r="D78" s="67">
        <v>0</v>
      </c>
    </row>
    <row r="79" spans="2:4" x14ac:dyDescent="0.35">
      <c r="B79" s="47" t="s">
        <v>483</v>
      </c>
      <c r="C79" s="64" t="s">
        <v>1096</v>
      </c>
      <c r="D79" s="67">
        <v>0</v>
      </c>
    </row>
    <row r="80" spans="2:4" x14ac:dyDescent="0.35">
      <c r="B80" s="47"/>
      <c r="C80" s="64" t="s">
        <v>1098</v>
      </c>
      <c r="D80" s="67">
        <v>0</v>
      </c>
    </row>
    <row r="81" spans="2:4" x14ac:dyDescent="0.35">
      <c r="B81" s="47" t="s">
        <v>18</v>
      </c>
      <c r="C81" s="64" t="s">
        <v>1096</v>
      </c>
      <c r="D81" s="67">
        <v>0</v>
      </c>
    </row>
    <row r="82" spans="2:4" x14ac:dyDescent="0.35">
      <c r="B82" s="47"/>
      <c r="C82" s="64" t="s">
        <v>1098</v>
      </c>
      <c r="D82" s="67">
        <v>0</v>
      </c>
    </row>
    <row r="83" spans="2:4" x14ac:dyDescent="0.35">
      <c r="B83" s="47" t="s">
        <v>51</v>
      </c>
      <c r="C83" s="64" t="s">
        <v>1096</v>
      </c>
      <c r="D83" s="67">
        <v>0</v>
      </c>
    </row>
    <row r="84" spans="2:4" x14ac:dyDescent="0.35">
      <c r="B84" s="47"/>
      <c r="C84" s="64" t="s">
        <v>1098</v>
      </c>
      <c r="D84" s="67">
        <v>0</v>
      </c>
    </row>
    <row r="85" spans="2:4" x14ac:dyDescent="0.35">
      <c r="B85" s="47" t="s">
        <v>71</v>
      </c>
      <c r="C85" s="64" t="s">
        <v>1096</v>
      </c>
      <c r="D85" s="67">
        <v>0</v>
      </c>
    </row>
    <row r="86" spans="2:4" x14ac:dyDescent="0.35">
      <c r="B86" s="47"/>
      <c r="C86" s="64" t="s">
        <v>1098</v>
      </c>
      <c r="D86" s="67">
        <v>0</v>
      </c>
    </row>
    <row r="87" spans="2:4" x14ac:dyDescent="0.35">
      <c r="B87" s="47" t="s">
        <v>97</v>
      </c>
      <c r="C87" s="64" t="s">
        <v>1096</v>
      </c>
      <c r="D87" s="67">
        <v>44</v>
      </c>
    </row>
    <row r="88" spans="2:4" x14ac:dyDescent="0.35">
      <c r="B88" s="47"/>
      <c r="C88" s="64" t="s">
        <v>1098</v>
      </c>
      <c r="D88" s="67">
        <v>30</v>
      </c>
    </row>
    <row r="89" spans="2:4" x14ac:dyDescent="0.35">
      <c r="B89" s="47" t="s">
        <v>183</v>
      </c>
      <c r="C89" s="64" t="s">
        <v>1096</v>
      </c>
      <c r="D89" s="67">
        <v>44</v>
      </c>
    </row>
    <row r="90" spans="2:4" x14ac:dyDescent="0.35">
      <c r="B90" s="47"/>
      <c r="C90" s="64" t="s">
        <v>1098</v>
      </c>
      <c r="D90" s="67">
        <v>30</v>
      </c>
    </row>
    <row r="91" spans="2:4" x14ac:dyDescent="0.35">
      <c r="B91" t="s">
        <v>1097</v>
      </c>
      <c r="D91" s="61">
        <v>235</v>
      </c>
    </row>
    <row r="92" spans="2:4" x14ac:dyDescent="0.35">
      <c r="B92" t="s">
        <v>1099</v>
      </c>
      <c r="D92" s="61">
        <v>161</v>
      </c>
    </row>
  </sheetData>
  <mergeCells count="2">
    <mergeCell ref="B1:G1"/>
    <mergeCell ref="B2:G2"/>
  </mergeCells>
  <pageMargins left="0.7" right="0.7" top="0.75" bottom="0.75" header="0.3" footer="0.3"/>
  <pageSetup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00_COVER</vt:lpstr>
      <vt:lpstr>00_EXECUTIVE_SUMMARY</vt:lpstr>
      <vt:lpstr>01_OVERVIEW</vt:lpstr>
      <vt:lpstr>02_DATA_DICTIONARY</vt:lpstr>
      <vt:lpstr>03_MASTER_LOG</vt:lpstr>
      <vt:lpstr>04_ACTIVITY_SUMMARY</vt:lpstr>
      <vt:lpstr>05_MATERIAL_SUMMARY</vt:lpstr>
      <vt:lpstr>06_COST_SUMMARY</vt:lpstr>
      <vt:lpstr>07_KPI_DASHBOARD</vt:lpstr>
      <vt:lpstr> 08_MATERIAL_COST_ANALYSIS</vt:lpstr>
      <vt:lpstr>09_CHALLENGES_AND_RESOLUTIONS</vt:lpstr>
      <vt:lpstr>10_PIVOT_ANALYSIS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2026-05-30T15:53:03Z</dcterms:created>
  <dcterms:modified xsi:type="dcterms:W3CDTF">2026-06-15T07:13:46Z</dcterms:modified>
</cp:coreProperties>
</file>